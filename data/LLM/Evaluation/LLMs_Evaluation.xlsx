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arinasilva/Desktop/"/>
    </mc:Choice>
  </mc:AlternateContent>
  <xr:revisionPtr revIDLastSave="0" documentId="13_ncr:1_{C527CB95-497C-F946-AF54-D7BD63847995}" xr6:coauthVersionLast="47" xr6:coauthVersionMax="47" xr10:uidLastSave="{00000000-0000-0000-0000-000000000000}"/>
  <bookViews>
    <workbookView xWindow="0" yWindow="500" windowWidth="28800" windowHeight="17500" xr2:uid="{6B16DACF-5201-FB49-87B0-4241377DC64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8" i="1" l="1"/>
  <c r="R48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27" i="1"/>
  <c r="P23" i="1"/>
  <c r="H24" i="1"/>
  <c r="N24" i="1" s="1"/>
  <c r="R79" i="1"/>
  <c r="R78" i="1"/>
  <c r="R77" i="1"/>
  <c r="R76" i="1"/>
  <c r="R80" i="1"/>
  <c r="R81" i="1"/>
  <c r="R83" i="1"/>
  <c r="R82" i="1"/>
  <c r="R72" i="1"/>
  <c r="R73" i="1"/>
  <c r="R74" i="1"/>
  <c r="R75" i="1"/>
  <c r="R70" i="1"/>
  <c r="R69" i="1"/>
  <c r="R71" i="1"/>
  <c r="R57" i="1"/>
  <c r="R56" i="1"/>
  <c r="R59" i="1"/>
  <c r="R61" i="1"/>
  <c r="R62" i="1"/>
  <c r="R63" i="1"/>
  <c r="R60" i="1"/>
  <c r="R58" i="1"/>
  <c r="R52" i="1"/>
  <c r="R53" i="1"/>
  <c r="R55" i="1"/>
  <c r="R54" i="1"/>
  <c r="R49" i="1"/>
  <c r="R51" i="1"/>
  <c r="R50" i="1"/>
  <c r="P3" i="1"/>
  <c r="P4" i="1"/>
  <c r="P5" i="1"/>
  <c r="P13" i="1"/>
  <c r="P12" i="1"/>
  <c r="P6" i="1"/>
  <c r="P7" i="1"/>
  <c r="P14" i="1"/>
  <c r="P15" i="1"/>
  <c r="P16" i="1"/>
  <c r="P8" i="1"/>
  <c r="P9" i="1"/>
  <c r="P17" i="1"/>
  <c r="P18" i="1"/>
  <c r="P10" i="1"/>
  <c r="P19" i="1"/>
  <c r="P11" i="1"/>
  <c r="P20" i="1"/>
</calcChain>
</file>

<file path=xl/sharedStrings.xml><?xml version="1.0" encoding="utf-8"?>
<sst xmlns="http://schemas.openxmlformats.org/spreadsheetml/2006/main" count="326" uniqueCount="31">
  <si>
    <t>LLM evaluation</t>
  </si>
  <si>
    <t>embedding_model_</t>
  </si>
  <si>
    <t>retrieval_method_</t>
  </si>
  <si>
    <t>llm_model_</t>
  </si>
  <si>
    <t>stage_match_mean</t>
  </si>
  <si>
    <t>stage_match_std</t>
  </si>
  <si>
    <t>bertscore_f1_mean</t>
  </si>
  <si>
    <t>bertscore_f1_std</t>
  </si>
  <si>
    <t>bleu_mean</t>
  </si>
  <si>
    <t>bleu_std</t>
  </si>
  <si>
    <t>rougeL_mean</t>
  </si>
  <si>
    <t>rougeL_std</t>
  </si>
  <si>
    <t>gemini</t>
  </si>
  <si>
    <t>bm25</t>
  </si>
  <si>
    <t>gpt-4o</t>
  </si>
  <si>
    <t>combined</t>
  </si>
  <si>
    <t>cosine</t>
  </si>
  <si>
    <t>minilm</t>
  </si>
  <si>
    <t>openai</t>
  </si>
  <si>
    <t>RAGAS_Faithfulness</t>
  </si>
  <si>
    <t>RAGAS_AnswerRelevancy</t>
  </si>
  <si>
    <t>RAGAS_ContextPrecision</t>
  </si>
  <si>
    <t>RAGAS_ContextRecall</t>
  </si>
  <si>
    <t>MEAN</t>
  </si>
  <si>
    <t>top_k_</t>
  </si>
  <si>
    <t>temperature_</t>
  </si>
  <si>
    <t>0.0</t>
  </si>
  <si>
    <t>0.3</t>
  </si>
  <si>
    <t>0.5</t>
  </si>
  <si>
    <t>0.7</t>
  </si>
  <si>
    <t>BM25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</si>
</sst>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164" fontId="3" fillId="0" borderId="0" xfId="0" applyNumberFormat="1" applyFont="1"/>
    <xf numFmtId="164" fontId="2" fillId="2" borderId="0" xfId="0" applyNumberFormat="1" applyFont="1" applyFill="1"/>
    <xf numFmtId="164" fontId="3" fillId="2" borderId="0" xfId="0" applyNumberFormat="1" applyFont="1" applyFill="1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2" fontId="2" fillId="0" borderId="0" xfId="0" applyNumberFormat="1" applyFont="1"/>
    <xf numFmtId="2" fontId="2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52DBD-8589-E547-A337-F928FBD9F057}" name="Tabela2" displayName="Tabela2" ref="A2:P20" totalsRowShown="0" headerRowDxfId="77" dataDxfId="76">
  <autoFilter ref="A2:P20" xr:uid="{EAE52DBD-8589-E547-A337-F928FBD9F057}"/>
  <tableColumns count="16">
    <tableColumn id="3" xr3:uid="{BE59C136-5444-1B4F-9CC1-F5F71E955770}" name="llm_model_" dataDxfId="75"/>
    <tableColumn id="1" xr3:uid="{4011F446-8CB5-7844-B19E-290674A19077}" name="embedding_model_" dataDxfId="74"/>
    <tableColumn id="2" xr3:uid="{86254496-D7D7-D048-B090-F6E1473C49BB}" name="retrieval_method_" dataDxfId="73"/>
    <tableColumn id="4" xr3:uid="{915E0E02-7C43-3B45-8B95-2AA1B8347046}" name="stage_match_mean" dataDxfId="72"/>
    <tableColumn id="5" xr3:uid="{F344BAE7-94D7-9949-B7CC-83F33C7BB018}" name="stage_match_std" dataDxfId="71"/>
    <tableColumn id="6" xr3:uid="{14598504-D68E-E94B-BA25-8EBEF1FD2793}" name="bertscore_f1_mean" dataDxfId="70"/>
    <tableColumn id="7" xr3:uid="{4B8A06FB-E347-5445-A4C4-D4BE22ADB3C3}" name="bertscore_f1_std" dataDxfId="69"/>
    <tableColumn id="8" xr3:uid="{1B5ADF8E-85B3-AD4E-B4A8-77C0B69AA8E4}" name="bleu_mean" dataDxfId="68"/>
    <tableColumn id="9" xr3:uid="{AF6542EF-369B-BE40-96CE-56A4D99521B2}" name="bleu_std" dataDxfId="67"/>
    <tableColumn id="10" xr3:uid="{88055EE4-0927-584D-9A9B-04A03A9B7170}" name="rougeL_mean" dataDxfId="66"/>
    <tableColumn id="11" xr3:uid="{6FA44E4C-35E6-0C47-896F-31C57FA80A74}" name="rougeL_std" dataDxfId="65"/>
    <tableColumn id="12" xr3:uid="{3D1232AA-25E1-C640-9992-A2F07F6B5419}" name="RAGAS_Faithfulness" dataDxfId="64"/>
    <tableColumn id="13" xr3:uid="{74D26178-D973-8143-8A66-0B9CFCDA2E13}" name="RAGAS_AnswerRelevancy" dataDxfId="63"/>
    <tableColumn id="14" xr3:uid="{A75E0447-C269-C04F-B456-16636A41B8F1}" name="RAGAS_ContextPrecision" dataDxfId="62"/>
    <tableColumn id="15" xr3:uid="{105753F1-11EE-4640-97F5-7F4EF3DC1481}" name="RAGAS_ContextRecall" dataDxfId="61"/>
    <tableColumn id="16" xr3:uid="{0DF56B13-5A27-5346-99B7-4B83FA767C45}" name="MEAN" dataDxfId="60">
      <calculatedColumnFormula>AVERAGE(D3,F3,L3,M3,N3,O3)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2982B-293A-6648-82C6-3229AD94D9BC}" name="Tabela1" displayName="Tabela1" ref="A26:R42" totalsRowShown="0" headerRowDxfId="59" dataDxfId="58">
  <autoFilter ref="A26:R42" xr:uid="{F592982B-293A-6648-82C6-3229AD94D9BC}"/>
  <sortState xmlns:xlrd2="http://schemas.microsoft.com/office/spreadsheetml/2017/richdata2" ref="A27:R42">
    <sortCondition descending="1" ref="R26:R42"/>
  </sortState>
  <tableColumns count="18">
    <tableColumn id="1" xr3:uid="{B55ADCA9-2AD8-4E40-9914-C68855E3AE8C}" name="embedding_model_" dataDxfId="57"/>
    <tableColumn id="2" xr3:uid="{B5D72F97-7D42-144D-BE6D-7A15C51AA0EB}" name="retrieval_method_" dataDxfId="56"/>
    <tableColumn id="3" xr3:uid="{E55E65F7-71B6-A44E-811C-E823E5542B4E}" name="llm_model_" dataDxfId="55"/>
    <tableColumn id="4" xr3:uid="{C5FBFA08-AFDD-0347-8B5C-99B0A03E6CB3}" name="top_k_" dataDxfId="54"/>
    <tableColumn id="5" xr3:uid="{DAD7F107-71BB-AC44-9613-51802D9788F5}" name="temperature_" dataDxfId="53"/>
    <tableColumn id="6" xr3:uid="{C0448663-D35E-B749-BA12-E7EB98EE5AE9}" name="stage_match_mean" dataDxfId="52"/>
    <tableColumn id="7" xr3:uid="{57DD7C1E-7C4F-AF41-BD9A-FDB12A02940F}" name="stage_match_std" dataDxfId="51"/>
    <tableColumn id="8" xr3:uid="{25D23A3D-C4F6-EE4E-AB15-E00184B73AF5}" name="bertscore_f1_mean" dataDxfId="50"/>
    <tableColumn id="9" xr3:uid="{1AF0B3FF-1609-E149-9046-DA6988864515}" name="bertscore_f1_std" dataDxfId="49"/>
    <tableColumn id="10" xr3:uid="{97230A32-74B8-6C4B-8694-82C9F99C7068}" name="bleu_mean" dataDxfId="48"/>
    <tableColumn id="11" xr3:uid="{A4BF771B-A05F-8549-AB8C-39092CB8B759}" name="bleu_std" dataDxfId="47"/>
    <tableColumn id="12" xr3:uid="{FC99B91C-ECC9-F549-9F28-473D5321B1D0}" name="rougeL_mean" dataDxfId="46"/>
    <tableColumn id="13" xr3:uid="{BF65C596-C0D8-3A42-A81A-8A58A695136C}" name="rougeL_std" dataDxfId="45"/>
    <tableColumn id="14" xr3:uid="{427C82E7-F103-B949-ABFB-3274B278607A}" name="RAGAS_Faithfulness" dataDxfId="44"/>
    <tableColumn id="15" xr3:uid="{A0A7318B-8C95-A442-9AC6-A200C54A3FE6}" name="RAGAS_AnswerRelevancy" dataDxfId="43"/>
    <tableColumn id="16" xr3:uid="{4144764C-3CED-8741-BD95-E0DBFBE09644}" name="RAGAS_ContextPrecision" dataDxfId="42"/>
    <tableColumn id="17" xr3:uid="{4543A441-16EE-EF4B-841E-00CC013C405E}" name="RAGAS_ContextRecall" dataDxfId="41"/>
    <tableColumn id="18" xr3:uid="{08309421-87BA-154A-A81A-A41DAB632185}" name="MEAN" dataDxfId="40">
      <calculatedColumnFormula>AVERAGE(Tabela1[[#This Row],[stage_match_mean]],Tabela1[[#This Row],[bertscore_f1_mean]],Tabela1[[#This Row],[RAGAS_Faithfulness]]:Tabela1[[#This Row],[RAGAS_AnswerRelevancy]],Tabela1[[#This Row],[RAGAS_ContextPrecision]],Tabela1[[#This Row],[RAGAS_ContextRecall]])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0E62D-4779-6A42-A577-0457FA85CE89}" name="Tabela3" displayName="Tabela3" ref="A47:R63" totalsRowShown="0" headerRowDxfId="39" dataDxfId="38">
  <autoFilter ref="A47:R63" xr:uid="{DCA0E62D-4779-6A42-A577-0457FA85CE89}"/>
  <sortState xmlns:xlrd2="http://schemas.microsoft.com/office/spreadsheetml/2017/richdata2" ref="A48:R63">
    <sortCondition descending="1" ref="R47:R63"/>
  </sortState>
  <tableColumns count="18">
    <tableColumn id="1" xr3:uid="{4F96EC55-7000-CB43-AF0E-355E88EA7767}" name="embedding_model_" dataDxfId="37"/>
    <tableColumn id="2" xr3:uid="{51B139C5-8B11-DB4A-B8CF-2F45F877133E}" name="retrieval_method_" dataDxfId="36"/>
    <tableColumn id="3" xr3:uid="{BB9FBCBB-9EBC-3141-A199-2C54AE7F0436}" name="llm_model_" dataDxfId="35"/>
    <tableColumn id="4" xr3:uid="{33BBC318-E2FA-2249-8826-F69D4A260E18}" name="top_k_" dataDxfId="34"/>
    <tableColumn id="5" xr3:uid="{47CD1AF8-F3EB-B64B-9D63-8579370E3AB4}" name="temperature_" dataDxfId="33"/>
    <tableColumn id="6" xr3:uid="{68210029-6131-9B48-9579-327BCE076DF9}" name="stage_match_mean" dataDxfId="32"/>
    <tableColumn id="7" xr3:uid="{05E789A5-4EFF-0C43-B299-E7C96FFCA1A0}" name="stage_match_std" dataDxfId="31"/>
    <tableColumn id="8" xr3:uid="{397A8AFF-F7B5-1348-B01B-EECF99B3FA3A}" name="bertscore_f1_mean" dataDxfId="30"/>
    <tableColumn id="9" xr3:uid="{747A25D5-6328-E041-BC07-8336F9B9CFF3}" name="bertscore_f1_std" dataDxfId="29"/>
    <tableColumn id="10" xr3:uid="{D456B21F-BFE7-C940-A6F7-EF62772F906E}" name="bleu_mean" dataDxfId="28"/>
    <tableColumn id="11" xr3:uid="{8736197F-12E5-4449-ACE4-C0869E461331}" name="bleu_std" dataDxfId="27"/>
    <tableColumn id="12" xr3:uid="{035708C3-8606-C049-9A24-B99FC5435284}" name="rougeL_mean" dataDxfId="26"/>
    <tableColumn id="13" xr3:uid="{3547618F-39A1-4745-9231-7DFA315F256A}" name="rougeL_std" dataDxfId="25"/>
    <tableColumn id="14" xr3:uid="{5FFD22AC-5C7B-E849-8138-03A9B21B8EF8}" name="RAGAS_Faithfulness" dataDxfId="24"/>
    <tableColumn id="15" xr3:uid="{56633343-FC51-5844-A48A-0AEA08D9443C}" name="RAGAS_AnswerRelevancy" dataDxfId="23"/>
    <tableColumn id="16" xr3:uid="{87A0CC76-7BB0-714D-8569-5AEA4951B6C5}" name="RAGAS_ContextPrecision" dataDxfId="22"/>
    <tableColumn id="17" xr3:uid="{7374E249-19C4-6840-98F9-99DDC5C6D63A}" name="RAGAS_ContextRecall" dataDxfId="21"/>
    <tableColumn id="18" xr3:uid="{C47BE71B-D994-6344-B80E-264BFEF83BBF}" name="MEAN" dataDxfId="20">
      <calculatedColumnFormula>AVERAGE(Q48,P48,O48,N48,H48,F48)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78BC32-9271-884B-BE49-6F3AFE2875E5}" name="Tabela4" displayName="Tabela4" ref="A67:R83" totalsRowShown="0" headerRowDxfId="19" dataDxfId="18">
  <autoFilter ref="A67:R83" xr:uid="{AE78BC32-9271-884B-BE49-6F3AFE2875E5}"/>
  <sortState xmlns:xlrd2="http://schemas.microsoft.com/office/spreadsheetml/2017/richdata2" ref="A68:R83">
    <sortCondition descending="1" ref="R67:R83"/>
  </sortState>
  <tableColumns count="18">
    <tableColumn id="1" xr3:uid="{1C343460-8E47-224B-B95C-67B9BBD86FAB}" name="embedding_model_" dataDxfId="17"/>
    <tableColumn id="2" xr3:uid="{BD1AD689-C2EB-9943-B1EE-FC775A0AB106}" name="retrieval_method_" dataDxfId="16"/>
    <tableColumn id="3" xr3:uid="{9A9F5DC5-4041-E344-8165-DBFAD3CCC7FD}" name="llm_model_" dataDxfId="15"/>
    <tableColumn id="4" xr3:uid="{0B9F158E-11DF-CD41-8554-835BCADA2302}" name="top_k_" dataDxfId="14"/>
    <tableColumn id="5" xr3:uid="{72034538-2891-1941-9023-551AFD84E1F6}" name="temperature_" dataDxfId="13"/>
    <tableColumn id="6" xr3:uid="{B0EBA212-8EBF-9746-A761-28B1B293F3CB}" name="stage_match_mean" dataDxfId="12"/>
    <tableColumn id="7" xr3:uid="{BF248A2D-637F-084E-A219-E5EB2C92D3C6}" name="stage_match_std" dataDxfId="11"/>
    <tableColumn id="8" xr3:uid="{BA1D2FC4-1701-6749-B2D3-FD1787271144}" name="bertscore_f1_mean" dataDxfId="10"/>
    <tableColumn id="9" xr3:uid="{BF729FBA-FE41-554E-AAB9-D1BC2453D9AE}" name="bertscore_f1_std" dataDxfId="9"/>
    <tableColumn id="10" xr3:uid="{734E2280-F557-6941-B131-D776F31CA796}" name="bleu_mean" dataDxfId="8"/>
    <tableColumn id="11" xr3:uid="{0EDE94DF-E2CD-4241-9734-0EBDCEDDEA07}" name="bleu_std" dataDxfId="7"/>
    <tableColumn id="12" xr3:uid="{B050439C-22A6-0A40-943E-C2F315385B21}" name="rougeL_mean" dataDxfId="6"/>
    <tableColumn id="13" xr3:uid="{BC2C3126-3FE5-8544-A848-0516B03EF312}" name="rougeL_std" dataDxfId="5"/>
    <tableColumn id="14" xr3:uid="{F36B312A-92E5-3849-96A4-C83BE7564FC2}" name="RAGAS_Faithfulness" dataDxfId="4"/>
    <tableColumn id="15" xr3:uid="{C8C4CFE8-C036-F445-882D-C57BD46751BF}" name="RAGAS_AnswerRelevancy" dataDxfId="3"/>
    <tableColumn id="16" xr3:uid="{A61EF725-7A7E-C246-AA54-C50D80C57E29}" name="RAGAS_ContextPrecision" dataDxfId="2"/>
    <tableColumn id="17" xr3:uid="{88161159-4E62-4545-BAD9-E0CF6E2772DA}" name="RAGAS_ContextRecall" dataDxfId="1"/>
    <tableColumn id="18" xr3:uid="{BE49D0D8-4337-AF43-AE86-F047ACA71452}" name="MEAN" dataDxfId="0">
      <calculatedColumnFormula>AVERAGE(F68,H68,N68,O68,P68,Q68)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F114-715E-DF40-B580-920C01F7DD7D}">
  <dimension ref="A1:AJ83"/>
  <sheetViews>
    <sheetView tabSelected="1" topLeftCell="A55" zoomScale="120" zoomScaleNormal="120" workbookViewId="0">
      <selection activeCell="F64" sqref="F64"/>
    </sheetView>
  </sheetViews>
  <sheetFormatPr baseColWidth="10" defaultColWidth="10.83203125" defaultRowHeight="16" x14ac:dyDescent="0.2"/>
  <cols>
    <col min="1" max="1" width="18.1640625" style="3" customWidth="1"/>
    <col min="2" max="2" width="17.1640625" style="3" customWidth="1"/>
    <col min="3" max="3" width="11.83203125" style="3" customWidth="1"/>
    <col min="4" max="4" width="9.83203125" customWidth="1"/>
    <col min="5" max="5" width="13.6640625" customWidth="1"/>
    <col min="6" max="6" width="18.33203125" customWidth="1"/>
    <col min="7" max="7" width="16.33203125" hidden="1" customWidth="1"/>
    <col min="8" max="8" width="18.1640625" customWidth="1"/>
    <col min="9" max="9" width="16.1640625" hidden="1" customWidth="1"/>
    <col min="10" max="10" width="11.5" hidden="1" customWidth="1"/>
    <col min="11" max="11" width="9.83203125" hidden="1" customWidth="1"/>
    <col min="12" max="12" width="13.83203125" hidden="1" customWidth="1"/>
    <col min="13" max="13" width="11.6640625" hidden="1" customWidth="1"/>
    <col min="14" max="14" width="19" customWidth="1"/>
    <col min="15" max="15" width="23.83203125" customWidth="1"/>
    <col min="16" max="16" width="23" customWidth="1"/>
    <col min="17" max="17" width="20.6640625" customWidth="1"/>
  </cols>
  <sheetData>
    <row r="1" spans="1:36" x14ac:dyDescent="0.2">
      <c r="A1" s="3" t="s">
        <v>0</v>
      </c>
    </row>
    <row r="2" spans="1:36" s="2" customFormat="1" x14ac:dyDescent="0.15">
      <c r="A2" s="8" t="s">
        <v>3</v>
      </c>
      <c r="B2" s="8" t="s">
        <v>1</v>
      </c>
      <c r="C2" s="8" t="s">
        <v>2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19</v>
      </c>
      <c r="M2" s="8" t="s">
        <v>20</v>
      </c>
      <c r="N2" s="8" t="s">
        <v>21</v>
      </c>
      <c r="O2" s="8" t="s">
        <v>22</v>
      </c>
      <c r="P2" s="8" t="s">
        <v>23</v>
      </c>
    </row>
    <row r="3" spans="1:36" x14ac:dyDescent="0.2">
      <c r="A3" s="11" t="s">
        <v>12</v>
      </c>
      <c r="B3" s="10" t="s">
        <v>12</v>
      </c>
      <c r="C3" s="11" t="s">
        <v>15</v>
      </c>
      <c r="D3" s="6">
        <v>0.55555555555555503</v>
      </c>
      <c r="E3" s="6">
        <v>0.49759558057471698</v>
      </c>
      <c r="F3" s="6">
        <v>0.82711049999999997</v>
      </c>
      <c r="G3" s="6">
        <v>1.3938528173195099E-2</v>
      </c>
      <c r="H3" s="6">
        <v>3.5839187829903502E-2</v>
      </c>
      <c r="I3" s="6">
        <v>1.6346687608890499E-2</v>
      </c>
      <c r="J3" s="6">
        <v>0.20113835782286699</v>
      </c>
      <c r="K3" s="6">
        <v>3.1498772200232797E-2</v>
      </c>
      <c r="L3" s="6">
        <v>0.55244169518865305</v>
      </c>
      <c r="M3" s="6">
        <v>0.80652343895582002</v>
      </c>
      <c r="N3" s="6">
        <v>0.99414576235133401</v>
      </c>
      <c r="O3" s="6">
        <v>0.91079025837199201</v>
      </c>
      <c r="P3" s="6">
        <f t="shared" ref="P3:P20" si="0">AVERAGE(D3,F3,L3,M3,N3,O3)</f>
        <v>0.77442786840389244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x14ac:dyDescent="0.2">
      <c r="A4" s="11" t="s">
        <v>12</v>
      </c>
      <c r="B4" s="10" t="s">
        <v>18</v>
      </c>
      <c r="C4" s="11" t="s">
        <v>13</v>
      </c>
      <c r="D4" s="6">
        <v>0.55000000000000004</v>
      </c>
      <c r="E4" s="6">
        <v>0.49818612489890002</v>
      </c>
      <c r="F4" s="6">
        <v>0.82710329999999999</v>
      </c>
      <c r="G4" s="6">
        <v>1.22299172970521E-2</v>
      </c>
      <c r="H4" s="6">
        <v>3.4216703222950597E-2</v>
      </c>
      <c r="I4" s="6">
        <v>1.5879088469350201E-2</v>
      </c>
      <c r="J4" s="6">
        <v>0.201192453521681</v>
      </c>
      <c r="K4" s="6">
        <v>3.2045077507299499E-2</v>
      </c>
      <c r="L4" s="7">
        <v>0.56618346389855301</v>
      </c>
      <c r="M4" s="6">
        <v>0.79316808083758805</v>
      </c>
      <c r="N4" s="6">
        <v>0.99411173887718696</v>
      </c>
      <c r="O4" s="6">
        <v>0.88506307798883999</v>
      </c>
      <c r="P4" s="6">
        <f t="shared" si="0"/>
        <v>0.76927161026702795</v>
      </c>
      <c r="V4" s="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x14ac:dyDescent="0.2">
      <c r="A5" s="11" t="s">
        <v>12</v>
      </c>
      <c r="B5" s="10" t="s">
        <v>18</v>
      </c>
      <c r="C5" s="11" t="s">
        <v>15</v>
      </c>
      <c r="D5" s="6">
        <v>0.53888888888888797</v>
      </c>
      <c r="E5" s="6">
        <v>0.49917914668885399</v>
      </c>
      <c r="F5" s="6">
        <v>0.82700664000000002</v>
      </c>
      <c r="G5" s="6">
        <v>1.17454295691778E-2</v>
      </c>
      <c r="H5" s="6">
        <v>3.53036371093223E-2</v>
      </c>
      <c r="I5" s="6">
        <v>1.5235655186824499E-2</v>
      </c>
      <c r="J5" s="6">
        <v>0.20216165396420499</v>
      </c>
      <c r="K5" s="6">
        <v>3.1116259465066898E-2</v>
      </c>
      <c r="L5" s="6">
        <v>0.54368542811515097</v>
      </c>
      <c r="M5" s="6">
        <v>0.80019154717692598</v>
      </c>
      <c r="N5" s="6">
        <v>0.99399916050070902</v>
      </c>
      <c r="O5" s="6">
        <v>0.89912325070136601</v>
      </c>
      <c r="P5" s="6">
        <f t="shared" si="0"/>
        <v>0.76714915256383998</v>
      </c>
      <c r="V5" s="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x14ac:dyDescent="0.2">
      <c r="A6" s="9" t="s">
        <v>12</v>
      </c>
      <c r="B6" s="8" t="s">
        <v>12</v>
      </c>
      <c r="C6" s="9" t="s">
        <v>13</v>
      </c>
      <c r="D6" s="1">
        <v>0.52777777777777701</v>
      </c>
      <c r="E6" s="1">
        <v>0.49992261858655102</v>
      </c>
      <c r="F6" s="1">
        <v>0.8264319</v>
      </c>
      <c r="G6" s="1">
        <v>1.32514495562227E-2</v>
      </c>
      <c r="H6" s="1">
        <v>3.4253897062557E-2</v>
      </c>
      <c r="I6" s="1">
        <v>1.5704843038281398E-2</v>
      </c>
      <c r="J6" s="1">
        <v>0.200072831979446</v>
      </c>
      <c r="K6" s="1">
        <v>3.33410454325953E-2</v>
      </c>
      <c r="L6" s="1">
        <v>0.54356664894732798</v>
      </c>
      <c r="M6" s="1">
        <v>0.80263687402086603</v>
      </c>
      <c r="N6" s="1">
        <v>0.99385346859650803</v>
      </c>
      <c r="O6" s="1">
        <v>0.89229719857581102</v>
      </c>
      <c r="P6" s="1">
        <f t="shared" si="0"/>
        <v>0.76442731131971497</v>
      </c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x14ac:dyDescent="0.2">
      <c r="A7" s="9" t="s">
        <v>12</v>
      </c>
      <c r="B7" s="8" t="s">
        <v>18</v>
      </c>
      <c r="C7" s="9" t="s">
        <v>16</v>
      </c>
      <c r="D7" s="1">
        <v>0.54722222222222205</v>
      </c>
      <c r="E7" s="1">
        <v>0.49845785080712601</v>
      </c>
      <c r="F7" s="1">
        <v>0.83206259999999999</v>
      </c>
      <c r="G7" s="1">
        <v>1.15322356447593E-2</v>
      </c>
      <c r="H7" s="1">
        <v>3.7224994687407198E-2</v>
      </c>
      <c r="I7" s="1">
        <v>1.65330033887745E-2</v>
      </c>
      <c r="J7" s="1">
        <v>0.20528440810118601</v>
      </c>
      <c r="K7" s="1">
        <v>3.0826568066304801E-2</v>
      </c>
      <c r="L7" s="1">
        <v>0.50379534263306602</v>
      </c>
      <c r="M7" s="1">
        <v>0.773923971866319</v>
      </c>
      <c r="N7" s="1">
        <v>0.96244666126743805</v>
      </c>
      <c r="O7" s="1">
        <v>0.95764309326287</v>
      </c>
      <c r="P7" s="1">
        <f t="shared" si="0"/>
        <v>0.76284898187531924</v>
      </c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x14ac:dyDescent="0.2">
      <c r="A8" s="9" t="s">
        <v>12</v>
      </c>
      <c r="B8" s="8" t="s">
        <v>17</v>
      </c>
      <c r="C8" s="9" t="s">
        <v>15</v>
      </c>
      <c r="D8" s="1">
        <v>0.57222222222222197</v>
      </c>
      <c r="E8" s="1">
        <v>0.49544505251531201</v>
      </c>
      <c r="F8" s="1">
        <v>0.82971819999999996</v>
      </c>
      <c r="G8" s="1">
        <v>1.1243964464482E-2</v>
      </c>
      <c r="H8" s="1">
        <v>3.7799377784376899E-2</v>
      </c>
      <c r="I8" s="1">
        <v>1.6421176817771201E-2</v>
      </c>
      <c r="J8" s="1">
        <v>0.20627618160321501</v>
      </c>
      <c r="K8" s="1">
        <v>3.3007016515020603E-2</v>
      </c>
      <c r="L8" s="1">
        <v>0.455526030723229</v>
      </c>
      <c r="M8" s="1">
        <v>0.79658216092578105</v>
      </c>
      <c r="N8" s="5">
        <v>0.99757138875631202</v>
      </c>
      <c r="O8" s="1">
        <v>0.48901439707276001</v>
      </c>
      <c r="P8" s="1">
        <f t="shared" si="0"/>
        <v>0.69010573328338387</v>
      </c>
      <c r="V8" s="8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x14ac:dyDescent="0.2">
      <c r="A9" s="9" t="s">
        <v>12</v>
      </c>
      <c r="B9" s="8" t="s">
        <v>17</v>
      </c>
      <c r="C9" s="9" t="s">
        <v>13</v>
      </c>
      <c r="D9" s="1">
        <v>0.55833333333333302</v>
      </c>
      <c r="E9" s="1">
        <v>0.49727670623373599</v>
      </c>
      <c r="F9" s="1">
        <v>0.82943529999999999</v>
      </c>
      <c r="G9" s="1">
        <v>1.23541699998351E-2</v>
      </c>
      <c r="H9" s="1">
        <v>3.6120778516935799E-2</v>
      </c>
      <c r="I9" s="1">
        <v>1.57355113328882E-2</v>
      </c>
      <c r="J9" s="1">
        <v>0.204302951207598</v>
      </c>
      <c r="K9" s="1">
        <v>3.3541494384644301E-2</v>
      </c>
      <c r="L9" s="1">
        <v>0.44059443473473903</v>
      </c>
      <c r="M9" s="1">
        <v>0.780016218046237</v>
      </c>
      <c r="N9" s="5">
        <v>0.99750153095208205</v>
      </c>
      <c r="O9" s="1">
        <v>0.47925849297791001</v>
      </c>
      <c r="P9" s="1">
        <f t="shared" si="0"/>
        <v>0.68085655167405024</v>
      </c>
      <c r="V9" s="8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x14ac:dyDescent="0.2">
      <c r="A10" s="9" t="s">
        <v>12</v>
      </c>
      <c r="B10" s="8" t="s">
        <v>17</v>
      </c>
      <c r="C10" s="9" t="s">
        <v>16</v>
      </c>
      <c r="D10" s="1">
        <v>0.51666666666666605</v>
      </c>
      <c r="E10" s="1">
        <v>0.50041765286413498</v>
      </c>
      <c r="F10" s="1">
        <v>0.82359039999999994</v>
      </c>
      <c r="G10" s="1">
        <v>1.4853533223992301E-2</v>
      </c>
      <c r="H10" s="1">
        <v>3.3642968916771702E-2</v>
      </c>
      <c r="I10" s="1">
        <v>1.8387103147686601E-2</v>
      </c>
      <c r="J10" s="1">
        <v>0.18929643150669001</v>
      </c>
      <c r="K10" s="1">
        <v>3.61109229567343E-2</v>
      </c>
      <c r="L10" s="1">
        <v>0.34873427479179298</v>
      </c>
      <c r="M10" s="1">
        <v>0.780787992476906</v>
      </c>
      <c r="N10" s="1">
        <v>0.75455013418954697</v>
      </c>
      <c r="O10" s="1">
        <v>0.469490022804816</v>
      </c>
      <c r="P10" s="1">
        <f t="shared" si="0"/>
        <v>0.6156365818216214</v>
      </c>
      <c r="V10" s="8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x14ac:dyDescent="0.2">
      <c r="A11" s="9" t="s">
        <v>12</v>
      </c>
      <c r="B11" s="8" t="s">
        <v>12</v>
      </c>
      <c r="C11" s="9" t="s">
        <v>16</v>
      </c>
      <c r="D11" s="5">
        <v>0.60555555555555496</v>
      </c>
      <c r="E11" s="1">
        <v>0.48941124566004801</v>
      </c>
      <c r="F11" s="1">
        <v>0.82407620000000004</v>
      </c>
      <c r="G11" s="1">
        <v>1.4884135099092199E-2</v>
      </c>
      <c r="H11" s="1">
        <v>3.3256560488125003E-2</v>
      </c>
      <c r="I11" s="1">
        <v>1.8393511328735099E-2</v>
      </c>
      <c r="J11" s="1">
        <v>0.18868626506217101</v>
      </c>
      <c r="K11" s="1">
        <v>3.4835263986046999E-2</v>
      </c>
      <c r="L11" s="1">
        <v>0.31686445122935603</v>
      </c>
      <c r="M11" s="1">
        <v>0.77354279819361305</v>
      </c>
      <c r="N11" s="1">
        <v>0.75233131629866701</v>
      </c>
      <c r="O11" s="1">
        <v>0.34469959808952699</v>
      </c>
      <c r="P11" s="1">
        <f t="shared" si="0"/>
        <v>0.60284498656111973</v>
      </c>
      <c r="V11" s="8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x14ac:dyDescent="0.2">
      <c r="A12" s="9" t="s">
        <v>14</v>
      </c>
      <c r="B12" s="8" t="s">
        <v>18</v>
      </c>
      <c r="C12" s="9" t="s">
        <v>15</v>
      </c>
      <c r="D12" s="1">
        <v>0.49444444444444402</v>
      </c>
      <c r="E12" s="1">
        <v>0.50066498645287505</v>
      </c>
      <c r="F12" s="1">
        <v>0.84210485000000002</v>
      </c>
      <c r="G12" s="1">
        <v>9.7632923578659901E-3</v>
      </c>
      <c r="H12" s="1">
        <v>3.9411730734837898E-2</v>
      </c>
      <c r="I12" s="1">
        <v>1.40359611039877E-2</v>
      </c>
      <c r="J12" s="1">
        <v>0.208068809096256</v>
      </c>
      <c r="K12" s="1">
        <v>2.5233410512441601E-2</v>
      </c>
      <c r="L12" s="1">
        <v>0.47634577129669398</v>
      </c>
      <c r="M12" s="1">
        <v>0.85939696568977397</v>
      </c>
      <c r="N12" s="1">
        <v>0.99398859176422105</v>
      </c>
      <c r="O12" s="1">
        <v>0.92353780865600299</v>
      </c>
      <c r="P12" s="1">
        <f t="shared" si="0"/>
        <v>0.76496973864185591</v>
      </c>
      <c r="Q12" s="4"/>
      <c r="V12" s="8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 x14ac:dyDescent="0.2">
      <c r="A13" s="9" t="s">
        <v>14</v>
      </c>
      <c r="B13" s="8" t="s">
        <v>12</v>
      </c>
      <c r="C13" s="9" t="s">
        <v>13</v>
      </c>
      <c r="D13" s="1">
        <v>0.49722222222222201</v>
      </c>
      <c r="E13" s="1">
        <v>0.50068816771272595</v>
      </c>
      <c r="F13" s="1">
        <v>0.84152859999999996</v>
      </c>
      <c r="G13" s="1">
        <v>9.9472523478100396E-3</v>
      </c>
      <c r="H13" s="1">
        <v>3.9589660772074597E-2</v>
      </c>
      <c r="I13" s="1">
        <v>1.48740477352501E-2</v>
      </c>
      <c r="J13" s="1">
        <v>0.20806620528363201</v>
      </c>
      <c r="K13" s="1">
        <v>2.5012396016372999E-2</v>
      </c>
      <c r="L13" s="1">
        <v>0.47634518653087399</v>
      </c>
      <c r="M13" s="1">
        <v>0.86014977774868295</v>
      </c>
      <c r="N13" s="1">
        <v>0.99312592595095395</v>
      </c>
      <c r="O13" s="1">
        <v>0.92098843039774303</v>
      </c>
      <c r="P13" s="1">
        <f t="shared" si="0"/>
        <v>0.76489335714174589</v>
      </c>
      <c r="V13" s="8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x14ac:dyDescent="0.2">
      <c r="A14" s="9" t="s">
        <v>14</v>
      </c>
      <c r="B14" s="8" t="s">
        <v>12</v>
      </c>
      <c r="C14" s="9" t="s">
        <v>15</v>
      </c>
      <c r="D14" s="1">
        <v>0.50555555555555498</v>
      </c>
      <c r="E14" s="1">
        <v>0.50066498645287505</v>
      </c>
      <c r="F14" s="1">
        <v>0.84175770000000005</v>
      </c>
      <c r="G14" s="1">
        <v>9.7128792438742895E-3</v>
      </c>
      <c r="H14" s="1">
        <v>3.9619214377340999E-2</v>
      </c>
      <c r="I14" s="1">
        <v>1.52123073429486E-2</v>
      </c>
      <c r="J14" s="1">
        <v>0.20762809673555599</v>
      </c>
      <c r="K14" s="1">
        <v>2.56311618636594E-2</v>
      </c>
      <c r="L14" s="1">
        <v>0.47642666278435197</v>
      </c>
      <c r="M14" s="1">
        <v>0.85451357223195301</v>
      </c>
      <c r="N14" s="1">
        <v>0.99337063501795098</v>
      </c>
      <c r="O14" s="1">
        <v>0.90086600355207003</v>
      </c>
      <c r="P14" s="1">
        <f t="shared" si="0"/>
        <v>0.76208168819031352</v>
      </c>
      <c r="V14" s="8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 x14ac:dyDescent="0.2">
      <c r="A15" s="9" t="s">
        <v>14</v>
      </c>
      <c r="B15" s="8" t="s">
        <v>18</v>
      </c>
      <c r="C15" s="9" t="s">
        <v>13</v>
      </c>
      <c r="D15" s="1">
        <v>0.48611111111111099</v>
      </c>
      <c r="E15" s="1">
        <v>0.50050268757137695</v>
      </c>
      <c r="F15" s="1">
        <v>0.84069866000000004</v>
      </c>
      <c r="G15" s="1">
        <v>1.11191555340347E-2</v>
      </c>
      <c r="H15" s="1">
        <v>3.91395807251569E-2</v>
      </c>
      <c r="I15" s="1">
        <v>1.47568748808578E-2</v>
      </c>
      <c r="J15" s="1">
        <v>0.20714931380827001</v>
      </c>
      <c r="K15" s="1">
        <v>2.5718991582834898E-2</v>
      </c>
      <c r="L15" s="1">
        <v>0.46430246436060002</v>
      </c>
      <c r="M15" s="1">
        <v>0.86010168082171001</v>
      </c>
      <c r="N15" s="1">
        <v>0.99260210221532796</v>
      </c>
      <c r="O15" s="1">
        <v>0.90540708646858203</v>
      </c>
      <c r="P15" s="1">
        <f t="shared" si="0"/>
        <v>0.75820385082955521</v>
      </c>
      <c r="V15" s="8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x14ac:dyDescent="0.2">
      <c r="A16" s="9" t="s">
        <v>14</v>
      </c>
      <c r="B16" s="8" t="s">
        <v>18</v>
      </c>
      <c r="C16" s="9" t="s">
        <v>16</v>
      </c>
      <c r="D16" s="1">
        <v>0.45</v>
      </c>
      <c r="E16" s="1">
        <v>0.49818612489890002</v>
      </c>
      <c r="F16" s="1">
        <v>0.84342574999999997</v>
      </c>
      <c r="G16" s="1">
        <v>1.0171553398191299E-2</v>
      </c>
      <c r="H16" s="1">
        <v>4.1311627680862197E-2</v>
      </c>
      <c r="I16" s="1">
        <v>1.46170875828062E-2</v>
      </c>
      <c r="J16" s="1">
        <v>0.21016296424830699</v>
      </c>
      <c r="K16" s="1">
        <v>2.4683536372700099E-2</v>
      </c>
      <c r="L16" s="1">
        <v>0.26729937951389898</v>
      </c>
      <c r="M16" s="5">
        <v>0.86287633896740601</v>
      </c>
      <c r="N16" s="1">
        <v>0.96443660590784297</v>
      </c>
      <c r="O16" s="5">
        <v>0.975784425910734</v>
      </c>
      <c r="P16" s="1">
        <f t="shared" si="0"/>
        <v>0.72730375004998038</v>
      </c>
      <c r="V16" s="8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x14ac:dyDescent="0.2">
      <c r="A17" s="9" t="s">
        <v>14</v>
      </c>
      <c r="B17" s="8" t="s">
        <v>17</v>
      </c>
      <c r="C17" s="9" t="s">
        <v>13</v>
      </c>
      <c r="D17" s="1">
        <v>0.483333333333333</v>
      </c>
      <c r="E17" s="1">
        <v>0.50041765286413498</v>
      </c>
      <c r="F17" s="1">
        <v>0.84179789999999999</v>
      </c>
      <c r="G17" s="1">
        <v>1.04094486743682E-2</v>
      </c>
      <c r="H17" s="1">
        <v>4.1043150933830701E-2</v>
      </c>
      <c r="I17" s="1">
        <v>1.5385455025986001E-2</v>
      </c>
      <c r="J17" s="1">
        <v>0.208100364691891</v>
      </c>
      <c r="K17" s="1">
        <v>2.62928024495667E-2</v>
      </c>
      <c r="L17" s="1">
        <v>0.29237339452892003</v>
      </c>
      <c r="M17" s="1">
        <v>0.86201429042762201</v>
      </c>
      <c r="N17" s="5">
        <v>0.99777009856376098</v>
      </c>
      <c r="O17" s="1">
        <v>0.48559084536341601</v>
      </c>
      <c r="P17" s="1">
        <f t="shared" si="0"/>
        <v>0.66047997703617523</v>
      </c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x14ac:dyDescent="0.2">
      <c r="A18" s="9" t="s">
        <v>14</v>
      </c>
      <c r="B18" s="8" t="s">
        <v>17</v>
      </c>
      <c r="C18" s="9" t="s">
        <v>15</v>
      </c>
      <c r="D18" s="1">
        <v>0.46388888888888802</v>
      </c>
      <c r="E18" s="1">
        <v>0.49938836003458997</v>
      </c>
      <c r="F18" s="1">
        <v>0.84222410000000003</v>
      </c>
      <c r="G18" s="1">
        <v>1.0348073209956401E-2</v>
      </c>
      <c r="H18" s="1">
        <v>4.1601551351786503E-2</v>
      </c>
      <c r="I18" s="1">
        <v>1.39518509559453E-2</v>
      </c>
      <c r="J18" s="1">
        <v>0.20904487133519001</v>
      </c>
      <c r="K18" s="1">
        <v>2.4214302670979501E-2</v>
      </c>
      <c r="L18" s="1">
        <v>0.27772020516887802</v>
      </c>
      <c r="M18" s="1">
        <v>0.86010838948055202</v>
      </c>
      <c r="N18" s="5">
        <v>0.99766398134891299</v>
      </c>
      <c r="O18" s="1">
        <v>0.47115316629828002</v>
      </c>
      <c r="P18" s="1">
        <f t="shared" si="0"/>
        <v>0.65212645519758528</v>
      </c>
      <c r="V18" s="8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x14ac:dyDescent="0.2">
      <c r="A19" s="9" t="s">
        <v>14</v>
      </c>
      <c r="B19" s="8" t="s">
        <v>17</v>
      </c>
      <c r="C19" s="9" t="s">
        <v>16</v>
      </c>
      <c r="D19" s="1">
        <v>0.452777777777777</v>
      </c>
      <c r="E19" s="1">
        <v>0.49845785080712601</v>
      </c>
      <c r="F19" s="5">
        <v>0.84356933999999995</v>
      </c>
      <c r="G19" s="1">
        <v>1.0362838933369201E-2</v>
      </c>
      <c r="H19" s="1">
        <v>4.2484378826322798E-2</v>
      </c>
      <c r="I19" s="1">
        <v>1.5131548850314799E-2</v>
      </c>
      <c r="J19" s="1">
        <v>0.20944964353290799</v>
      </c>
      <c r="K19" s="1">
        <v>2.6925995263131601E-2</v>
      </c>
      <c r="L19" s="1">
        <v>0.211319675210521</v>
      </c>
      <c r="M19" s="5">
        <v>0.86324734251808599</v>
      </c>
      <c r="N19" s="1">
        <v>0.75874908403699404</v>
      </c>
      <c r="O19" s="1">
        <v>0.48661594205327902</v>
      </c>
      <c r="P19" s="1">
        <f t="shared" si="0"/>
        <v>0.60271319359944286</v>
      </c>
      <c r="V19" s="8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x14ac:dyDescent="0.2">
      <c r="A20" s="9" t="s">
        <v>14</v>
      </c>
      <c r="B20" s="8" t="s">
        <v>12</v>
      </c>
      <c r="C20" s="9" t="s">
        <v>16</v>
      </c>
      <c r="D20" s="1">
        <v>0.51944444444444404</v>
      </c>
      <c r="E20" s="1">
        <v>0.50031713866788097</v>
      </c>
      <c r="F20" s="1">
        <v>0.84334869999999995</v>
      </c>
      <c r="G20" s="1">
        <v>1.0552106195379E-2</v>
      </c>
      <c r="H20" s="1">
        <v>4.0790377351567902E-2</v>
      </c>
      <c r="I20" s="1">
        <v>1.4888221746297101E-2</v>
      </c>
      <c r="J20" s="1">
        <v>0.209438205903621</v>
      </c>
      <c r="K20" s="1">
        <v>2.6370607315862899E-2</v>
      </c>
      <c r="L20" s="1">
        <v>0.19189747489894601</v>
      </c>
      <c r="M20" s="1">
        <v>0.85756059860906997</v>
      </c>
      <c r="N20" s="1">
        <v>0.75561140504578395</v>
      </c>
      <c r="O20" s="1">
        <v>0.322255794256534</v>
      </c>
      <c r="P20" s="1">
        <f t="shared" si="0"/>
        <v>0.58168640287579632</v>
      </c>
      <c r="V20" s="8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x14ac:dyDescent="0.2">
      <c r="V21" s="8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x14ac:dyDescent="0.2">
      <c r="Q22">
        <v>10</v>
      </c>
    </row>
    <row r="23" spans="1:36" x14ac:dyDescent="0.2">
      <c r="P23" s="14">
        <f>MEDIAN(F27,H27,N27,O27,P27,Q27)</f>
        <v>0.81954009029800301</v>
      </c>
      <c r="Q23">
        <v>20</v>
      </c>
    </row>
    <row r="24" spans="1:36" x14ac:dyDescent="0.2">
      <c r="A24" s="11" t="s">
        <v>12</v>
      </c>
      <c r="B24" s="10" t="s">
        <v>12</v>
      </c>
      <c r="C24" s="11" t="s">
        <v>15</v>
      </c>
      <c r="H24" s="14">
        <f>F27+H27+N27+O27+P27+Q27</f>
        <v>4.7750773962279691</v>
      </c>
      <c r="N24">
        <f>H24/6</f>
        <v>0.79584623270466148</v>
      </c>
    </row>
    <row r="26" spans="1:36" x14ac:dyDescent="0.2">
      <c r="A26" s="8" t="s">
        <v>1</v>
      </c>
      <c r="B26" s="8" t="s">
        <v>2</v>
      </c>
      <c r="C26" s="8" t="s">
        <v>3</v>
      </c>
      <c r="D26" s="8" t="s">
        <v>24</v>
      </c>
      <c r="E26" s="8" t="s">
        <v>25</v>
      </c>
      <c r="F26" s="8" t="s">
        <v>4</v>
      </c>
      <c r="G26" s="8" t="s">
        <v>5</v>
      </c>
      <c r="H26" s="8" t="s">
        <v>6</v>
      </c>
      <c r="I26" s="8" t="s">
        <v>7</v>
      </c>
      <c r="J26" s="8" t="s">
        <v>8</v>
      </c>
      <c r="K26" s="8" t="s">
        <v>9</v>
      </c>
      <c r="L26" s="8" t="s">
        <v>10</v>
      </c>
      <c r="M26" s="8" t="s">
        <v>11</v>
      </c>
      <c r="N26" s="8" t="s">
        <v>19</v>
      </c>
      <c r="O26" s="8" t="s">
        <v>20</v>
      </c>
      <c r="P26" s="8" t="s">
        <v>21</v>
      </c>
      <c r="Q26" s="8" t="s">
        <v>22</v>
      </c>
      <c r="R26" s="8" t="s">
        <v>23</v>
      </c>
    </row>
    <row r="27" spans="1:36" x14ac:dyDescent="0.2">
      <c r="A27" s="10" t="s">
        <v>12</v>
      </c>
      <c r="B27" s="11" t="s">
        <v>15</v>
      </c>
      <c r="C27" s="11" t="s">
        <v>12</v>
      </c>
      <c r="D27" s="11">
        <v>15</v>
      </c>
      <c r="E27" s="11" t="s">
        <v>26</v>
      </c>
      <c r="F27" s="13">
        <v>0.53611111111111098</v>
      </c>
      <c r="G27" s="13">
        <v>0.49938836003458997</v>
      </c>
      <c r="H27" s="13">
        <v>0.82884413000000001</v>
      </c>
      <c r="I27" s="13">
        <v>1.17548313788828E-2</v>
      </c>
      <c r="J27" s="13">
        <v>3.4548649901857201E-2</v>
      </c>
      <c r="K27" s="13">
        <v>1.6334593809428199E-2</v>
      </c>
      <c r="L27" s="13">
        <v>0.19491963372052101</v>
      </c>
      <c r="M27" s="13">
        <v>3.2465217096952902E-2</v>
      </c>
      <c r="N27" s="13">
        <v>0.67616206758962405</v>
      </c>
      <c r="O27" s="13">
        <v>0.81023605059600601</v>
      </c>
      <c r="P27" s="13">
        <v>0.99371457602531099</v>
      </c>
      <c r="Q27" s="13">
        <v>0.93000946090591696</v>
      </c>
      <c r="R27" s="6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0.79584623270466148</v>
      </c>
    </row>
    <row r="28" spans="1:36" x14ac:dyDescent="0.2">
      <c r="A28" s="8" t="s">
        <v>12</v>
      </c>
      <c r="B28" s="9" t="s">
        <v>15</v>
      </c>
      <c r="C28" s="9" t="s">
        <v>12</v>
      </c>
      <c r="D28" s="9">
        <v>15</v>
      </c>
      <c r="E28" s="9" t="s">
        <v>27</v>
      </c>
      <c r="F28" s="12">
        <v>0.52222222222222203</v>
      </c>
      <c r="G28" s="12">
        <v>0.50020113565091795</v>
      </c>
      <c r="H28" s="12">
        <v>0.82839589999999996</v>
      </c>
      <c r="I28" s="12">
        <v>1.11300359953228E-2</v>
      </c>
      <c r="J28" s="12">
        <v>3.43335822529061E-2</v>
      </c>
      <c r="K28" s="12">
        <v>1.6332586637838702E-2</v>
      </c>
      <c r="L28" s="12">
        <v>0.195850811782835</v>
      </c>
      <c r="M28" s="12">
        <v>3.3672739605846498E-2</v>
      </c>
      <c r="N28" s="12">
        <v>0.64470135245996896</v>
      </c>
      <c r="O28" s="12">
        <v>0.80369069240073199</v>
      </c>
      <c r="P28" s="12">
        <v>0.99441355424425804</v>
      </c>
      <c r="Q28" s="12">
        <v>0.95200982610125995</v>
      </c>
      <c r="R28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0.79090559123807347</v>
      </c>
    </row>
    <row r="29" spans="1:36" x14ac:dyDescent="0.2">
      <c r="A29" s="8" t="s">
        <v>12</v>
      </c>
      <c r="B29" s="9" t="s">
        <v>15</v>
      </c>
      <c r="C29" s="9" t="s">
        <v>12</v>
      </c>
      <c r="D29" s="9">
        <v>15</v>
      </c>
      <c r="E29" s="9" t="s">
        <v>29</v>
      </c>
      <c r="F29" s="12">
        <v>0.5</v>
      </c>
      <c r="G29" s="12">
        <v>0.50069589456084296</v>
      </c>
      <c r="H29" s="12">
        <v>0.82873653999999997</v>
      </c>
      <c r="I29" s="12">
        <v>1.2265664097821601E-2</v>
      </c>
      <c r="J29" s="12">
        <v>3.5499930675238503E-2</v>
      </c>
      <c r="K29" s="12">
        <v>1.68504710758005E-2</v>
      </c>
      <c r="L29" s="12">
        <v>0.196464549652626</v>
      </c>
      <c r="M29" s="12">
        <v>3.4982916568906799E-2</v>
      </c>
      <c r="N29" s="12">
        <v>0.61899130648377498</v>
      </c>
      <c r="O29" s="12">
        <v>0.81049615085376903</v>
      </c>
      <c r="P29" s="12">
        <v>0.99460158336815996</v>
      </c>
      <c r="Q29" s="12">
        <v>0.96806593846118705</v>
      </c>
      <c r="R29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0.78681525319448176</v>
      </c>
    </row>
    <row r="30" spans="1:36" x14ac:dyDescent="0.2">
      <c r="A30" s="8" t="s">
        <v>12</v>
      </c>
      <c r="B30" s="9" t="s">
        <v>15</v>
      </c>
      <c r="C30" s="9" t="s">
        <v>12</v>
      </c>
      <c r="D30" s="9">
        <v>15</v>
      </c>
      <c r="E30" s="9" t="s">
        <v>28</v>
      </c>
      <c r="F30" s="12">
        <v>0.50277777777777699</v>
      </c>
      <c r="G30" s="12">
        <v>0.50068816771272595</v>
      </c>
      <c r="H30" s="12">
        <v>0.82969539999999997</v>
      </c>
      <c r="I30" s="12">
        <v>1.14932265157915E-2</v>
      </c>
      <c r="J30" s="12">
        <v>3.5317096560172401E-2</v>
      </c>
      <c r="K30" s="12">
        <v>1.7035277215940298E-2</v>
      </c>
      <c r="L30" s="12">
        <v>0.19647231094420201</v>
      </c>
      <c r="M30" s="12">
        <v>3.3940530761536497E-2</v>
      </c>
      <c r="N30" s="12">
        <v>0.61756919835410196</v>
      </c>
      <c r="O30" s="12">
        <v>0.79631468156057805</v>
      </c>
      <c r="P30" s="12">
        <v>0.993560815092419</v>
      </c>
      <c r="Q30" s="12">
        <v>0.96544551727654504</v>
      </c>
      <c r="R30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0.78422723167690345</v>
      </c>
    </row>
    <row r="31" spans="1:36" x14ac:dyDescent="0.2">
      <c r="A31" s="8" t="s">
        <v>12</v>
      </c>
      <c r="B31" s="9" t="s">
        <v>15</v>
      </c>
      <c r="C31" s="9" t="s">
        <v>12</v>
      </c>
      <c r="D31" s="9">
        <v>10</v>
      </c>
      <c r="E31" s="9" t="s">
        <v>29</v>
      </c>
      <c r="F31" s="12">
        <v>0.54166666666666596</v>
      </c>
      <c r="G31" s="12">
        <v>0.49895433834658098</v>
      </c>
      <c r="H31" s="12">
        <v>0.82756479999999999</v>
      </c>
      <c r="I31" s="12">
        <v>1.27410596235655E-2</v>
      </c>
      <c r="J31" s="12">
        <v>3.6390814717965202E-2</v>
      </c>
      <c r="K31" s="12">
        <v>1.7796658615144002E-2</v>
      </c>
      <c r="L31" s="12">
        <v>0.20305703748819801</v>
      </c>
      <c r="M31" s="12">
        <v>3.4004165435712497E-2</v>
      </c>
      <c r="N31" s="12">
        <v>0.54222137722664099</v>
      </c>
      <c r="O31" s="12">
        <v>0.82454990196206901</v>
      </c>
      <c r="P31" s="12">
        <v>0.99586076816554203</v>
      </c>
      <c r="Q31" s="12">
        <v>0.91897421324600703</v>
      </c>
      <c r="R31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0.77513962121115421</v>
      </c>
    </row>
    <row r="32" spans="1:36" x14ac:dyDescent="0.2">
      <c r="A32" s="8" t="s">
        <v>12</v>
      </c>
      <c r="B32" s="9" t="s">
        <v>15</v>
      </c>
      <c r="C32" s="9" t="s">
        <v>12</v>
      </c>
      <c r="D32" s="9">
        <v>10</v>
      </c>
      <c r="E32" s="9" t="s">
        <v>27</v>
      </c>
      <c r="F32" s="12">
        <v>0.52777777777777701</v>
      </c>
      <c r="G32" s="12">
        <v>0.49992261858655201</v>
      </c>
      <c r="H32" s="12">
        <v>0.82742952999999997</v>
      </c>
      <c r="I32" s="12">
        <v>1.32077477450537E-2</v>
      </c>
      <c r="J32" s="12">
        <v>3.60397491719429E-2</v>
      </c>
      <c r="K32" s="12">
        <v>1.62465665624952E-2</v>
      </c>
      <c r="L32" s="12">
        <v>0.20165233738910501</v>
      </c>
      <c r="M32" s="12">
        <v>3.3283296454553697E-2</v>
      </c>
      <c r="N32" s="12">
        <v>0.56320052486177397</v>
      </c>
      <c r="O32" s="12">
        <v>0.80117415049660801</v>
      </c>
      <c r="P32" s="12">
        <v>0.99560653658607801</v>
      </c>
      <c r="Q32" s="12">
        <v>0.91753462370150696</v>
      </c>
      <c r="R32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0.77212052390395736</v>
      </c>
    </row>
    <row r="33" spans="1:18" x14ac:dyDescent="0.2">
      <c r="A33" s="8" t="s">
        <v>12</v>
      </c>
      <c r="B33" s="9" t="s">
        <v>15</v>
      </c>
      <c r="C33" s="9" t="s">
        <v>12</v>
      </c>
      <c r="D33" s="9">
        <v>10</v>
      </c>
      <c r="E33" s="9" t="s">
        <v>28</v>
      </c>
      <c r="F33" s="12">
        <v>0.49722222222222201</v>
      </c>
      <c r="G33" s="12">
        <v>0.50068816771272595</v>
      </c>
      <c r="H33" s="12">
        <v>0.82687217000000002</v>
      </c>
      <c r="I33" s="12">
        <v>1.3093304689619899E-2</v>
      </c>
      <c r="J33" s="12">
        <v>3.5796855343215098E-2</v>
      </c>
      <c r="K33" s="12">
        <v>1.68141673461518E-2</v>
      </c>
      <c r="L33" s="12">
        <v>0.201134792194651</v>
      </c>
      <c r="M33" s="12">
        <v>3.3645246691740002E-2</v>
      </c>
      <c r="N33" s="12">
        <v>0.52836224673982102</v>
      </c>
      <c r="O33" s="12">
        <v>0.80647559575830197</v>
      </c>
      <c r="P33" s="12">
        <v>0.99581692140873901</v>
      </c>
      <c r="Q33" s="12">
        <v>0.91705017670693301</v>
      </c>
      <c r="R33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0.76196655547266945</v>
      </c>
    </row>
    <row r="34" spans="1:18" x14ac:dyDescent="0.2">
      <c r="A34" s="8" t="s">
        <v>12</v>
      </c>
      <c r="B34" s="9" t="s">
        <v>15</v>
      </c>
      <c r="C34" s="9" t="s">
        <v>12</v>
      </c>
      <c r="D34" s="9">
        <v>10</v>
      </c>
      <c r="E34" s="9" t="s">
        <v>26</v>
      </c>
      <c r="F34" s="12">
        <v>0.50277777777777699</v>
      </c>
      <c r="G34" s="12">
        <v>0.50068816771272595</v>
      </c>
      <c r="H34" s="12">
        <v>0.82594292999999996</v>
      </c>
      <c r="I34" s="12">
        <v>1.31906772790828E-2</v>
      </c>
      <c r="J34" s="12">
        <v>3.4524132396226301E-2</v>
      </c>
      <c r="K34" s="12">
        <v>1.66029423844808E-2</v>
      </c>
      <c r="L34" s="12">
        <v>0.198522950710564</v>
      </c>
      <c r="M34" s="12">
        <v>3.3954749775590501E-2</v>
      </c>
      <c r="N34" s="12">
        <v>0.48723626746528298</v>
      </c>
      <c r="O34" s="12">
        <v>0.80870752997091599</v>
      </c>
      <c r="P34" s="12">
        <v>0.99556510874950899</v>
      </c>
      <c r="Q34" s="12">
        <v>0.91618257985947105</v>
      </c>
      <c r="R34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0.75606869897049267</v>
      </c>
    </row>
    <row r="35" spans="1:18" x14ac:dyDescent="0.2">
      <c r="A35" s="8" t="s">
        <v>12</v>
      </c>
      <c r="B35" s="9" t="s">
        <v>15</v>
      </c>
      <c r="C35" s="9" t="s">
        <v>12</v>
      </c>
      <c r="D35" s="9">
        <v>7</v>
      </c>
      <c r="E35" s="9" t="s">
        <v>29</v>
      </c>
      <c r="F35" s="12">
        <v>0.563888888888888</v>
      </c>
      <c r="G35" s="12">
        <v>0.49659160163831101</v>
      </c>
      <c r="H35" s="12">
        <v>0.82740979999999997</v>
      </c>
      <c r="I35" s="12">
        <v>1.25190906749491E-2</v>
      </c>
      <c r="J35" s="12">
        <v>3.6744458154649197E-2</v>
      </c>
      <c r="K35" s="12">
        <v>1.6124130203343301E-2</v>
      </c>
      <c r="L35" s="12">
        <v>0.20040396773764799</v>
      </c>
      <c r="M35" s="12">
        <v>3.2840040483577498E-2</v>
      </c>
      <c r="N35" s="12">
        <v>0.40943197186526797</v>
      </c>
      <c r="O35" s="12">
        <v>0.80444271973746495</v>
      </c>
      <c r="P35" s="12">
        <v>0.99760846559400396</v>
      </c>
      <c r="Q35" s="12">
        <v>0.45162654478591502</v>
      </c>
      <c r="R35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0.67573473181192334</v>
      </c>
    </row>
    <row r="36" spans="1:18" x14ac:dyDescent="0.2">
      <c r="A36" s="8" t="s">
        <v>12</v>
      </c>
      <c r="B36" s="9" t="s">
        <v>15</v>
      </c>
      <c r="C36" s="9" t="s">
        <v>12</v>
      </c>
      <c r="D36" s="9">
        <v>7</v>
      </c>
      <c r="E36" s="9" t="s">
        <v>28</v>
      </c>
      <c r="F36" s="12">
        <v>0.53611111111111098</v>
      </c>
      <c r="G36" s="12">
        <v>0.49938836003458997</v>
      </c>
      <c r="H36" s="12">
        <v>0.82702695999999998</v>
      </c>
      <c r="I36" s="12">
        <v>1.2592694430272999E-2</v>
      </c>
      <c r="J36" s="12">
        <v>3.6112535991794599E-2</v>
      </c>
      <c r="K36" s="12">
        <v>1.6149210448626199E-2</v>
      </c>
      <c r="L36" s="12">
        <v>0.199461809041102</v>
      </c>
      <c r="M36" s="12">
        <v>3.4074251255260098E-2</v>
      </c>
      <c r="N36" s="12">
        <v>0.41550823184757602</v>
      </c>
      <c r="O36" s="12">
        <v>0.80413483102779204</v>
      </c>
      <c r="P36" s="12">
        <v>0.997674603160147</v>
      </c>
      <c r="Q36" s="12">
        <v>0.44800410385714301</v>
      </c>
      <c r="R36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0.67140997350062825</v>
      </c>
    </row>
    <row r="37" spans="1:18" x14ac:dyDescent="0.2">
      <c r="A37" s="8" t="s">
        <v>12</v>
      </c>
      <c r="B37" s="9" t="s">
        <v>15</v>
      </c>
      <c r="C37" s="9" t="s">
        <v>12</v>
      </c>
      <c r="D37" s="9">
        <v>5</v>
      </c>
      <c r="E37" s="9" t="s">
        <v>29</v>
      </c>
      <c r="F37" s="12">
        <v>0.52500000000000002</v>
      </c>
      <c r="G37" s="12">
        <v>0.50006963303424801</v>
      </c>
      <c r="H37" s="12">
        <v>0.82776916</v>
      </c>
      <c r="I37" s="12">
        <v>1.2239854573378801E-2</v>
      </c>
      <c r="J37" s="12">
        <v>3.6862067000488698E-2</v>
      </c>
      <c r="K37" s="12">
        <v>1.6373355388602299E-2</v>
      </c>
      <c r="L37" s="12">
        <v>0.198837024714587</v>
      </c>
      <c r="M37" s="12">
        <v>3.3235009724349403E-2</v>
      </c>
      <c r="N37" s="12">
        <v>0.41508139033159402</v>
      </c>
      <c r="O37" s="12">
        <v>0.82272159776007503</v>
      </c>
      <c r="P37" s="12">
        <v>0.99972222220220097</v>
      </c>
      <c r="Q37" s="12">
        <v>0.43024809182252499</v>
      </c>
      <c r="R37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0.67009041035273242</v>
      </c>
    </row>
    <row r="38" spans="1:18" x14ac:dyDescent="0.2">
      <c r="A38" s="8" t="s">
        <v>12</v>
      </c>
      <c r="B38" s="9" t="s">
        <v>15</v>
      </c>
      <c r="C38" s="9" t="s">
        <v>12</v>
      </c>
      <c r="D38" s="9">
        <v>7</v>
      </c>
      <c r="E38" s="9" t="s">
        <v>26</v>
      </c>
      <c r="F38" s="12">
        <v>0.52222222222222203</v>
      </c>
      <c r="G38" s="12">
        <v>0.50020113565091795</v>
      </c>
      <c r="H38" s="12">
        <v>0.82679749999999996</v>
      </c>
      <c r="I38" s="12">
        <v>1.29586888067953E-2</v>
      </c>
      <c r="J38" s="12">
        <v>3.4479618248341497E-2</v>
      </c>
      <c r="K38" s="12">
        <v>1.6659406196455499E-2</v>
      </c>
      <c r="L38" s="12">
        <v>0.19665217682894001</v>
      </c>
      <c r="M38" s="12">
        <v>3.43935170681662E-2</v>
      </c>
      <c r="N38" s="12">
        <v>0.42226271936841397</v>
      </c>
      <c r="O38" s="12">
        <v>0.80617397999304896</v>
      </c>
      <c r="P38" s="12">
        <v>0.997674603160147</v>
      </c>
      <c r="Q38" s="12">
        <v>0.428653883611048</v>
      </c>
      <c r="R38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0.66729748472581329</v>
      </c>
    </row>
    <row r="39" spans="1:18" x14ac:dyDescent="0.2">
      <c r="A39" s="8" t="s">
        <v>12</v>
      </c>
      <c r="B39" s="9" t="s">
        <v>15</v>
      </c>
      <c r="C39" s="9" t="s">
        <v>12</v>
      </c>
      <c r="D39" s="9">
        <v>5</v>
      </c>
      <c r="E39" s="9" t="s">
        <v>28</v>
      </c>
      <c r="F39" s="12">
        <v>0.5</v>
      </c>
      <c r="G39" s="12">
        <v>0.50069589456084296</v>
      </c>
      <c r="H39" s="12">
        <v>0.82735689999999995</v>
      </c>
      <c r="I39" s="12">
        <v>1.3336366483056399E-2</v>
      </c>
      <c r="J39" s="12">
        <v>3.72075848652186E-2</v>
      </c>
      <c r="K39" s="12">
        <v>1.6927651904600799E-2</v>
      </c>
      <c r="L39" s="12">
        <v>0.19608383958565601</v>
      </c>
      <c r="M39" s="12">
        <v>3.3213743243110903E-2</v>
      </c>
      <c r="N39" s="12">
        <v>0.41797107590305799</v>
      </c>
      <c r="O39" s="12">
        <v>0.80668386669388203</v>
      </c>
      <c r="P39" s="12">
        <v>0.99999999998</v>
      </c>
      <c r="Q39" s="12">
        <v>0.42722485853719699</v>
      </c>
      <c r="R39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0.6632061168523562</v>
      </c>
    </row>
    <row r="40" spans="1:18" x14ac:dyDescent="0.2">
      <c r="A40" s="8" t="s">
        <v>12</v>
      </c>
      <c r="B40" s="9" t="s">
        <v>15</v>
      </c>
      <c r="C40" s="9" t="s">
        <v>12</v>
      </c>
      <c r="D40" s="9">
        <v>7</v>
      </c>
      <c r="E40" s="9" t="s">
        <v>27</v>
      </c>
      <c r="F40" s="12">
        <v>0.52777777777777701</v>
      </c>
      <c r="G40" s="12">
        <v>0.49992261858655201</v>
      </c>
      <c r="H40" s="12">
        <v>0.82695775999999999</v>
      </c>
      <c r="I40" s="12">
        <v>1.24099335635576E-2</v>
      </c>
      <c r="J40" s="12">
        <v>3.5388632931265297E-2</v>
      </c>
      <c r="K40" s="12">
        <v>1.7015192065154301E-2</v>
      </c>
      <c r="L40" s="12">
        <v>0.19791848128726999</v>
      </c>
      <c r="M40" s="12">
        <v>3.48754140473332E-2</v>
      </c>
      <c r="N40" s="12">
        <v>0.39837341047510599</v>
      </c>
      <c r="O40" s="12">
        <v>0.79969936720958601</v>
      </c>
      <c r="P40" s="12">
        <v>0.99754232802786102</v>
      </c>
      <c r="Q40" s="12">
        <v>0.428212391337079</v>
      </c>
      <c r="R40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0.66309383913790154</v>
      </c>
    </row>
    <row r="41" spans="1:18" x14ac:dyDescent="0.2">
      <c r="A41" s="8" t="s">
        <v>12</v>
      </c>
      <c r="B41" s="9" t="s">
        <v>15</v>
      </c>
      <c r="C41" s="9" t="s">
        <v>12</v>
      </c>
      <c r="D41" s="9">
        <v>5</v>
      </c>
      <c r="E41" s="9" t="s">
        <v>27</v>
      </c>
      <c r="F41" s="12">
        <v>0.49722222222222201</v>
      </c>
      <c r="G41" s="12">
        <v>0.50068816771272595</v>
      </c>
      <c r="H41" s="12">
        <v>0.82683960000000001</v>
      </c>
      <c r="I41" s="12">
        <v>1.1664801519927499E-2</v>
      </c>
      <c r="J41" s="12">
        <v>3.6666375881570103E-2</v>
      </c>
      <c r="K41" s="12">
        <v>1.6057687551694601E-2</v>
      </c>
      <c r="L41" s="12">
        <v>0.195587913460848</v>
      </c>
      <c r="M41" s="12">
        <v>3.1887554442869503E-2</v>
      </c>
      <c r="N41" s="12">
        <v>0.37967165418494597</v>
      </c>
      <c r="O41" s="12">
        <v>0.81428887191832899</v>
      </c>
      <c r="P41" s="12">
        <v>0.99986111109109999</v>
      </c>
      <c r="Q41" s="12">
        <v>0.43448646159726401</v>
      </c>
      <c r="R41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0.65872832016897687</v>
      </c>
    </row>
    <row r="42" spans="1:18" x14ac:dyDescent="0.2">
      <c r="A42" s="8" t="s">
        <v>12</v>
      </c>
      <c r="B42" s="9" t="s">
        <v>15</v>
      </c>
      <c r="C42" s="9" t="s">
        <v>12</v>
      </c>
      <c r="D42" s="9">
        <v>5</v>
      </c>
      <c r="E42" s="9" t="s">
        <v>26</v>
      </c>
      <c r="F42" s="12">
        <v>0.483333333333333</v>
      </c>
      <c r="G42" s="12">
        <v>0.50041765286413498</v>
      </c>
      <c r="H42" s="12">
        <v>0.82772760000000001</v>
      </c>
      <c r="I42" s="12">
        <v>1.2615865009544199E-2</v>
      </c>
      <c r="J42" s="12">
        <v>3.6714533349394902E-2</v>
      </c>
      <c r="K42" s="12">
        <v>1.6527908274410901E-2</v>
      </c>
      <c r="L42" s="12">
        <v>0.19912562227809999</v>
      </c>
      <c r="M42" s="12">
        <v>3.3778969903880601E-2</v>
      </c>
      <c r="N42" s="12">
        <v>0.37783092467198798</v>
      </c>
      <c r="O42" s="12">
        <v>0.81591815479396801</v>
      </c>
      <c r="P42" s="12">
        <v>0.99999999998</v>
      </c>
      <c r="Q42" s="12">
        <v>0.42454137081931398</v>
      </c>
      <c r="R42" s="1">
        <f>AVERAGE(Tabela1[[#This Row],[stage_match_mean]],Tabela1[[#This Row],[bertscore_f1_mean]],Tabela1[[#This Row],[RAGAS_Faithfulness]]:Tabela1[[#This Row],[RAGAS_AnswerRelevancy]],Tabela1[[#This Row],[RAGAS_ContextPrecision]],Tabela1[[#This Row],[RAGAS_ContextRecall]])</f>
        <v>0.65489189726643382</v>
      </c>
    </row>
    <row r="45" spans="1:18" x14ac:dyDescent="0.2">
      <c r="A45" s="11" t="s">
        <v>12</v>
      </c>
      <c r="B45" s="10" t="s">
        <v>18</v>
      </c>
      <c r="C45" s="11" t="s">
        <v>15</v>
      </c>
    </row>
    <row r="47" spans="1:18" x14ac:dyDescent="0.2">
      <c r="A47" s="8" t="s">
        <v>1</v>
      </c>
      <c r="B47" s="8" t="s">
        <v>2</v>
      </c>
      <c r="C47" s="8" t="s">
        <v>3</v>
      </c>
      <c r="D47" s="8" t="s">
        <v>24</v>
      </c>
      <c r="E47" s="8" t="s">
        <v>25</v>
      </c>
      <c r="F47" s="8" t="s">
        <v>4</v>
      </c>
      <c r="G47" s="8" t="s">
        <v>5</v>
      </c>
      <c r="H47" s="8" t="s">
        <v>6</v>
      </c>
      <c r="I47" s="8" t="s">
        <v>7</v>
      </c>
      <c r="J47" s="8" t="s">
        <v>8</v>
      </c>
      <c r="K47" s="8" t="s">
        <v>9</v>
      </c>
      <c r="L47" s="8" t="s">
        <v>10</v>
      </c>
      <c r="M47" s="8" t="s">
        <v>11</v>
      </c>
      <c r="N47" s="8" t="s">
        <v>19</v>
      </c>
      <c r="O47" s="8" t="s">
        <v>20</v>
      </c>
      <c r="P47" s="8" t="s">
        <v>21</v>
      </c>
      <c r="Q47" s="8" t="s">
        <v>22</v>
      </c>
      <c r="R47" s="8" t="s">
        <v>23</v>
      </c>
    </row>
    <row r="48" spans="1:18" x14ac:dyDescent="0.2">
      <c r="A48" s="10" t="s">
        <v>18</v>
      </c>
      <c r="B48" s="11" t="s">
        <v>15</v>
      </c>
      <c r="C48" s="11" t="s">
        <v>12</v>
      </c>
      <c r="D48" s="11">
        <v>15</v>
      </c>
      <c r="E48" s="11" t="s">
        <v>29</v>
      </c>
      <c r="F48" s="6">
        <v>0.53611111111111098</v>
      </c>
      <c r="G48" s="13">
        <v>0.49938836003458997</v>
      </c>
      <c r="H48" s="13">
        <v>0.82861010000000002</v>
      </c>
      <c r="I48" s="13">
        <v>1.15750470167033E-2</v>
      </c>
      <c r="J48" s="13">
        <v>3.6188304082271298E-2</v>
      </c>
      <c r="K48" s="13">
        <v>1.7204762555733499E-2</v>
      </c>
      <c r="L48" s="13">
        <v>0.19708693715915199</v>
      </c>
      <c r="M48" s="13">
        <v>3.2296591474309203E-2</v>
      </c>
      <c r="N48" s="13">
        <v>0.64780571995532699</v>
      </c>
      <c r="O48" s="13">
        <v>0.80541034256061605</v>
      </c>
      <c r="P48" s="13">
        <v>0.99231717213565895</v>
      </c>
      <c r="Q48" s="13">
        <v>0.96433391468585195</v>
      </c>
      <c r="R48" s="6">
        <f t="shared" ref="R48:R63" si="1">AVERAGE(Q48,P48,O48,N48,H48,F48)</f>
        <v>0.79576472674142751</v>
      </c>
    </row>
    <row r="49" spans="1:18" x14ac:dyDescent="0.2">
      <c r="A49" s="8" t="s">
        <v>18</v>
      </c>
      <c r="B49" s="9" t="s">
        <v>15</v>
      </c>
      <c r="C49" s="9" t="s">
        <v>12</v>
      </c>
      <c r="D49" s="9">
        <v>15</v>
      </c>
      <c r="E49" s="9" t="s">
        <v>26</v>
      </c>
      <c r="F49" s="1">
        <v>0.52777777777777701</v>
      </c>
      <c r="G49" s="12">
        <v>0.49992261858655201</v>
      </c>
      <c r="H49" s="12">
        <v>0.82865140000000004</v>
      </c>
      <c r="I49" s="12">
        <v>1.2527938065222901E-2</v>
      </c>
      <c r="J49" s="12">
        <v>3.5685729344346703E-2</v>
      </c>
      <c r="K49" s="12">
        <v>1.6159432746856599E-2</v>
      </c>
      <c r="L49" s="12">
        <v>0.19618916307208401</v>
      </c>
      <c r="M49" s="12">
        <v>3.3831707141684299E-2</v>
      </c>
      <c r="N49" s="12">
        <v>0.64832749681675805</v>
      </c>
      <c r="O49" s="12">
        <v>0.79805615517255102</v>
      </c>
      <c r="P49" s="12">
        <v>0.99163911769464297</v>
      </c>
      <c r="Q49" s="12">
        <v>0.965436847880634</v>
      </c>
      <c r="R49" s="1">
        <f t="shared" si="1"/>
        <v>0.79331479922372716</v>
      </c>
    </row>
    <row r="50" spans="1:18" x14ac:dyDescent="0.2">
      <c r="A50" s="8" t="s">
        <v>18</v>
      </c>
      <c r="B50" s="9" t="s">
        <v>15</v>
      </c>
      <c r="C50" s="9" t="s">
        <v>12</v>
      </c>
      <c r="D50" s="9">
        <v>15</v>
      </c>
      <c r="E50" s="9" t="s">
        <v>28</v>
      </c>
      <c r="F50" s="1">
        <v>0.51666666666666605</v>
      </c>
      <c r="G50" s="12">
        <v>0.50041765286413498</v>
      </c>
      <c r="H50" s="12">
        <v>0.82830166999999999</v>
      </c>
      <c r="I50" s="12">
        <v>1.17828241901702E-2</v>
      </c>
      <c r="J50" s="12">
        <v>3.5055818823181303E-2</v>
      </c>
      <c r="K50" s="12">
        <v>1.5671291121958902E-2</v>
      </c>
      <c r="L50" s="12">
        <v>0.19645911569053501</v>
      </c>
      <c r="M50" s="12">
        <v>3.2958997936808197E-2</v>
      </c>
      <c r="N50" s="12">
        <v>0.60708638669608805</v>
      </c>
      <c r="O50" s="12">
        <v>0.80304362346011404</v>
      </c>
      <c r="P50" s="12">
        <v>0.99385806011377797</v>
      </c>
      <c r="Q50" s="12">
        <v>0.98014293658972895</v>
      </c>
      <c r="R50" s="1">
        <f t="shared" si="1"/>
        <v>0.78818322392106255</v>
      </c>
    </row>
    <row r="51" spans="1:18" x14ac:dyDescent="0.2">
      <c r="A51" s="8" t="s">
        <v>18</v>
      </c>
      <c r="B51" s="9" t="s">
        <v>15</v>
      </c>
      <c r="C51" s="9" t="s">
        <v>12</v>
      </c>
      <c r="D51" s="9">
        <v>15</v>
      </c>
      <c r="E51" s="9" t="s">
        <v>27</v>
      </c>
      <c r="F51" s="1">
        <v>0.469444444444444</v>
      </c>
      <c r="G51" s="12">
        <v>0.49976007861847899</v>
      </c>
      <c r="H51" s="12">
        <v>0.82823409999999997</v>
      </c>
      <c r="I51" s="12">
        <v>1.22569095264695E-2</v>
      </c>
      <c r="J51" s="12">
        <v>3.4083402192959897E-2</v>
      </c>
      <c r="K51" s="12">
        <v>1.6566284962011998E-2</v>
      </c>
      <c r="L51" s="12">
        <v>0.19507569423252699</v>
      </c>
      <c r="M51" s="12">
        <v>3.3570485027500797E-2</v>
      </c>
      <c r="N51" s="12">
        <v>0.64232909787996895</v>
      </c>
      <c r="O51" s="12">
        <v>0.811488409957141</v>
      </c>
      <c r="P51" s="12">
        <v>0.99357668187641601</v>
      </c>
      <c r="Q51" s="12">
        <v>0.974095994452429</v>
      </c>
      <c r="R51" s="1">
        <f t="shared" si="1"/>
        <v>0.78652812143506656</v>
      </c>
    </row>
    <row r="52" spans="1:18" x14ac:dyDescent="0.2">
      <c r="A52" s="8" t="s">
        <v>18</v>
      </c>
      <c r="B52" s="9" t="s">
        <v>15</v>
      </c>
      <c r="C52" s="9" t="s">
        <v>12</v>
      </c>
      <c r="D52" s="9">
        <v>10</v>
      </c>
      <c r="E52" s="9" t="s">
        <v>26</v>
      </c>
      <c r="F52" s="1">
        <v>0.52777777777777701</v>
      </c>
      <c r="G52" s="12">
        <v>0.49992261858655201</v>
      </c>
      <c r="H52" s="12">
        <v>0.82811670000000004</v>
      </c>
      <c r="I52" s="12">
        <v>1.3130186754525101E-2</v>
      </c>
      <c r="J52" s="12">
        <v>3.5603999819592003E-2</v>
      </c>
      <c r="K52" s="12">
        <v>1.5656107656298001E-2</v>
      </c>
      <c r="L52" s="12">
        <v>0.20216085472220899</v>
      </c>
      <c r="M52" s="12">
        <v>3.1697325609856199E-2</v>
      </c>
      <c r="N52" s="12">
        <v>0.56628200923647598</v>
      </c>
      <c r="O52" s="12">
        <v>0.80862509489336798</v>
      </c>
      <c r="P52" s="12">
        <v>0.99514278835465497</v>
      </c>
      <c r="Q52" s="12">
        <v>0.92904150549584197</v>
      </c>
      <c r="R52" s="1">
        <f t="shared" si="1"/>
        <v>0.77583097929301958</v>
      </c>
    </row>
    <row r="53" spans="1:18" x14ac:dyDescent="0.2">
      <c r="A53" s="8" t="s">
        <v>18</v>
      </c>
      <c r="B53" s="9" t="s">
        <v>15</v>
      </c>
      <c r="C53" s="9" t="s">
        <v>12</v>
      </c>
      <c r="D53" s="9">
        <v>10</v>
      </c>
      <c r="E53" s="9" t="s">
        <v>27</v>
      </c>
      <c r="F53" s="1">
        <v>0.50555555555555498</v>
      </c>
      <c r="G53" s="12">
        <v>0.50066498645287505</v>
      </c>
      <c r="H53" s="12">
        <v>0.82818840000000005</v>
      </c>
      <c r="I53" s="12">
        <v>1.30672713531018E-2</v>
      </c>
      <c r="J53" s="12">
        <v>3.6051624986243799E-2</v>
      </c>
      <c r="K53" s="12">
        <v>1.6231116923418901E-2</v>
      </c>
      <c r="L53" s="12">
        <v>0.203475215361069</v>
      </c>
      <c r="M53" s="12">
        <v>3.4182060320045698E-2</v>
      </c>
      <c r="N53" s="12">
        <v>0.58085258235511705</v>
      </c>
      <c r="O53" s="12">
        <v>0.81649714783921101</v>
      </c>
      <c r="P53" s="12">
        <v>0.99481677443636196</v>
      </c>
      <c r="Q53" s="12">
        <v>0.91779024234697604</v>
      </c>
      <c r="R53" s="1">
        <f t="shared" si="1"/>
        <v>0.77395011708887018</v>
      </c>
    </row>
    <row r="54" spans="1:18" x14ac:dyDescent="0.2">
      <c r="A54" s="8" t="s">
        <v>18</v>
      </c>
      <c r="B54" s="9" t="s">
        <v>15</v>
      </c>
      <c r="C54" s="9" t="s">
        <v>12</v>
      </c>
      <c r="D54" s="9">
        <v>10</v>
      </c>
      <c r="E54" s="9" t="s">
        <v>29</v>
      </c>
      <c r="F54" s="1">
        <v>0.51666666666666605</v>
      </c>
      <c r="G54" s="12">
        <v>0.50041765286413498</v>
      </c>
      <c r="H54" s="12">
        <v>0.82775929999999998</v>
      </c>
      <c r="I54" s="12">
        <v>1.28427091722839E-2</v>
      </c>
      <c r="J54" s="12">
        <v>3.5638840165657999E-2</v>
      </c>
      <c r="K54" s="12">
        <v>1.6207947055056598E-2</v>
      </c>
      <c r="L54" s="12">
        <v>0.20128253031034099</v>
      </c>
      <c r="M54" s="12">
        <v>3.3283661686272198E-2</v>
      </c>
      <c r="N54" s="12">
        <v>0.55569001305512999</v>
      </c>
      <c r="O54" s="12">
        <v>0.80090205854236696</v>
      </c>
      <c r="P54" s="12">
        <v>0.99693700395822504</v>
      </c>
      <c r="Q54" s="12">
        <v>0.93767612339141904</v>
      </c>
      <c r="R54" s="1">
        <f t="shared" si="1"/>
        <v>0.7726051942689679</v>
      </c>
    </row>
    <row r="55" spans="1:18" x14ac:dyDescent="0.2">
      <c r="A55" s="8" t="s">
        <v>18</v>
      </c>
      <c r="B55" s="9" t="s">
        <v>15</v>
      </c>
      <c r="C55" s="9" t="s">
        <v>12</v>
      </c>
      <c r="D55" s="9">
        <v>10</v>
      </c>
      <c r="E55" s="9" t="s">
        <v>28</v>
      </c>
      <c r="F55" s="1">
        <v>0.51666666666666605</v>
      </c>
      <c r="G55" s="12">
        <v>0.50041765286413498</v>
      </c>
      <c r="H55" s="12">
        <v>0.82736509999999996</v>
      </c>
      <c r="I55" s="12">
        <v>1.25989456452314E-2</v>
      </c>
      <c r="J55" s="12">
        <v>3.5637918627726098E-2</v>
      </c>
      <c r="K55" s="12">
        <v>1.6199327647658801E-2</v>
      </c>
      <c r="L55" s="12">
        <v>0.20236563490218001</v>
      </c>
      <c r="M55" s="12">
        <v>3.3925916136244197E-2</v>
      </c>
      <c r="N55" s="12">
        <v>0.54999195910463805</v>
      </c>
      <c r="O55" s="12">
        <v>0.795466410269561</v>
      </c>
      <c r="P55" s="12">
        <v>0.99559976973324704</v>
      </c>
      <c r="Q55" s="12">
        <v>0.92012012943304</v>
      </c>
      <c r="R55" s="1">
        <f t="shared" si="1"/>
        <v>0.76753500586785861</v>
      </c>
    </row>
    <row r="56" spans="1:18" x14ac:dyDescent="0.2">
      <c r="A56" s="8" t="s">
        <v>18</v>
      </c>
      <c r="B56" s="9" t="s">
        <v>15</v>
      </c>
      <c r="C56" s="9" t="s">
        <v>12</v>
      </c>
      <c r="D56" s="9">
        <v>5</v>
      </c>
      <c r="E56" s="9" t="s">
        <v>27</v>
      </c>
      <c r="F56" s="1">
        <v>0.54166666666666596</v>
      </c>
      <c r="G56" s="12">
        <v>0.49895433834658098</v>
      </c>
      <c r="H56" s="12">
        <v>0.82769199999999998</v>
      </c>
      <c r="I56" s="12">
        <v>1.2026621754682901E-2</v>
      </c>
      <c r="J56" s="12">
        <v>3.70573994782748E-2</v>
      </c>
      <c r="K56" s="12">
        <v>1.6180629671095698E-2</v>
      </c>
      <c r="L56" s="12">
        <v>0.19738308380112701</v>
      </c>
      <c r="M56" s="12">
        <v>3.2925933909415603E-2</v>
      </c>
      <c r="N56" s="12">
        <v>0.39001383494442898</v>
      </c>
      <c r="O56" s="12">
        <v>0.81445185353996696</v>
      </c>
      <c r="P56" s="12">
        <v>0.99958333331330196</v>
      </c>
      <c r="Q56" s="12">
        <v>0.50913986824316004</v>
      </c>
      <c r="R56" s="1">
        <f t="shared" si="1"/>
        <v>0.68042459278458722</v>
      </c>
    </row>
    <row r="57" spans="1:18" x14ac:dyDescent="0.2">
      <c r="A57" s="8" t="s">
        <v>18</v>
      </c>
      <c r="B57" s="9" t="s">
        <v>15</v>
      </c>
      <c r="C57" s="9" t="s">
        <v>12</v>
      </c>
      <c r="D57" s="9">
        <v>5</v>
      </c>
      <c r="E57" s="9" t="s">
        <v>26</v>
      </c>
      <c r="F57" s="1">
        <v>0.52222222222222203</v>
      </c>
      <c r="G57" s="12">
        <v>0.50020113565091795</v>
      </c>
      <c r="H57" s="12">
        <v>0.82749700000000004</v>
      </c>
      <c r="I57" s="12">
        <v>1.2002927588612201E-2</v>
      </c>
      <c r="J57" s="12">
        <v>3.7096506163410703E-2</v>
      </c>
      <c r="K57" s="12">
        <v>1.63009400823255E-2</v>
      </c>
      <c r="L57" s="12">
        <v>0.19626619075034299</v>
      </c>
      <c r="M57" s="12">
        <v>3.1656818010284103E-2</v>
      </c>
      <c r="N57" s="12">
        <v>0.39833173852661702</v>
      </c>
      <c r="O57" s="12">
        <v>0.80917240490041697</v>
      </c>
      <c r="P57" s="12">
        <v>0.99986111109109999</v>
      </c>
      <c r="Q57" s="12">
        <v>0.50663113941876403</v>
      </c>
      <c r="R57" s="1">
        <f t="shared" si="1"/>
        <v>0.6772859360265201</v>
      </c>
    </row>
    <row r="58" spans="1:18" x14ac:dyDescent="0.2">
      <c r="A58" s="8" t="s">
        <v>18</v>
      </c>
      <c r="B58" s="9" t="s">
        <v>15</v>
      </c>
      <c r="C58" s="9" t="s">
        <v>12</v>
      </c>
      <c r="D58" s="9">
        <v>7</v>
      </c>
      <c r="E58" s="9" t="s">
        <v>29</v>
      </c>
      <c r="F58" s="1">
        <v>0.56944444444444398</v>
      </c>
      <c r="G58" s="12">
        <v>0.495843135207376</v>
      </c>
      <c r="H58" s="12">
        <v>0.82712996000000005</v>
      </c>
      <c r="I58" s="12">
        <v>1.3125279772769401E-2</v>
      </c>
      <c r="J58" s="12">
        <v>3.57065255952193E-2</v>
      </c>
      <c r="K58" s="12">
        <v>1.7310594907987399E-2</v>
      </c>
      <c r="L58" s="12">
        <v>0.199424622296419</v>
      </c>
      <c r="M58" s="12">
        <v>3.5321304441403002E-2</v>
      </c>
      <c r="N58" s="12">
        <v>0.456653381610514</v>
      </c>
      <c r="O58" s="12">
        <v>0.80419882938638598</v>
      </c>
      <c r="P58" s="12">
        <v>0.99784611991500505</v>
      </c>
      <c r="Q58" s="12">
        <v>0.39112670654480602</v>
      </c>
      <c r="R58" s="1">
        <f t="shared" si="1"/>
        <v>0.67439990698352592</v>
      </c>
    </row>
    <row r="59" spans="1:18" x14ac:dyDescent="0.2">
      <c r="A59" s="8" t="s">
        <v>18</v>
      </c>
      <c r="B59" s="9" t="s">
        <v>15</v>
      </c>
      <c r="C59" s="9" t="s">
        <v>12</v>
      </c>
      <c r="D59" s="9">
        <v>5</v>
      </c>
      <c r="E59" s="9" t="s">
        <v>28</v>
      </c>
      <c r="F59" s="1">
        <v>0.483333333333333</v>
      </c>
      <c r="G59" s="12">
        <v>0.50041765286413498</v>
      </c>
      <c r="H59" s="12">
        <v>0.82624339999999996</v>
      </c>
      <c r="I59" s="12">
        <v>1.25374221548248E-2</v>
      </c>
      <c r="J59" s="12">
        <v>3.5589451255417799E-2</v>
      </c>
      <c r="K59" s="12">
        <v>1.5875494051380501E-2</v>
      </c>
      <c r="L59" s="12">
        <v>0.196061994483747</v>
      </c>
      <c r="M59" s="12">
        <v>3.4429337839397799E-2</v>
      </c>
      <c r="N59" s="12">
        <v>0.382827286204943</v>
      </c>
      <c r="O59" s="12">
        <v>0.81128785294310601</v>
      </c>
      <c r="P59" s="12">
        <v>0.99999999998</v>
      </c>
      <c r="Q59" s="12">
        <v>0.53500241458096198</v>
      </c>
      <c r="R59" s="1">
        <f t="shared" si="1"/>
        <v>0.67311571450705732</v>
      </c>
    </row>
    <row r="60" spans="1:18" x14ac:dyDescent="0.2">
      <c r="A60" s="8" t="s">
        <v>18</v>
      </c>
      <c r="B60" s="9" t="s">
        <v>15</v>
      </c>
      <c r="C60" s="9" t="s">
        <v>12</v>
      </c>
      <c r="D60" s="9">
        <v>7</v>
      </c>
      <c r="E60" s="9" t="s">
        <v>28</v>
      </c>
      <c r="F60" s="1">
        <v>0.563888888888888</v>
      </c>
      <c r="G60" s="12">
        <v>0.49659160163831101</v>
      </c>
      <c r="H60" s="12">
        <v>0.82689259999999998</v>
      </c>
      <c r="I60" s="12">
        <v>1.2749501014850201E-2</v>
      </c>
      <c r="J60" s="12">
        <v>3.5058359201213099E-2</v>
      </c>
      <c r="K60" s="12">
        <v>1.69679313978673E-2</v>
      </c>
      <c r="L60" s="12">
        <v>0.19677302852985601</v>
      </c>
      <c r="M60" s="12">
        <v>3.4342181868071898E-2</v>
      </c>
      <c r="N60" s="12">
        <v>0.44956206277475103</v>
      </c>
      <c r="O60" s="12">
        <v>0.80847942266032302</v>
      </c>
      <c r="P60" s="12">
        <v>0.99790696647586796</v>
      </c>
      <c r="Q60" s="12">
        <v>0.38846911609484602</v>
      </c>
      <c r="R60" s="1">
        <f t="shared" si="1"/>
        <v>0.67253317614911268</v>
      </c>
    </row>
    <row r="61" spans="1:18" x14ac:dyDescent="0.2">
      <c r="A61" s="8" t="s">
        <v>18</v>
      </c>
      <c r="B61" s="9" t="s">
        <v>15</v>
      </c>
      <c r="C61" s="9" t="s">
        <v>12</v>
      </c>
      <c r="D61" s="9">
        <v>5</v>
      </c>
      <c r="E61" s="9" t="s">
        <v>29</v>
      </c>
      <c r="F61" s="1">
        <v>0.51944444444444404</v>
      </c>
      <c r="G61" s="12">
        <v>0.50031713866788097</v>
      </c>
      <c r="H61" s="12">
        <v>0.82721465999999999</v>
      </c>
      <c r="I61" s="12">
        <v>1.2984040903823201E-2</v>
      </c>
      <c r="J61" s="12">
        <v>3.79763200168566E-2</v>
      </c>
      <c r="K61" s="12">
        <v>1.6836592164779399E-2</v>
      </c>
      <c r="L61" s="12">
        <v>0.19821495339221701</v>
      </c>
      <c r="M61" s="12">
        <v>3.4537560830971502E-2</v>
      </c>
      <c r="N61" s="12">
        <v>0.37453326908239998</v>
      </c>
      <c r="O61" s="12">
        <v>0.81716106525201304</v>
      </c>
      <c r="P61" s="12">
        <v>0.99972222220220097</v>
      </c>
      <c r="Q61" s="12">
        <v>0.45874732070646601</v>
      </c>
      <c r="R61" s="1">
        <f t="shared" si="1"/>
        <v>0.6661371636145873</v>
      </c>
    </row>
    <row r="62" spans="1:18" x14ac:dyDescent="0.2">
      <c r="A62" s="8" t="s">
        <v>18</v>
      </c>
      <c r="B62" s="9" t="s">
        <v>15</v>
      </c>
      <c r="C62" s="9" t="s">
        <v>12</v>
      </c>
      <c r="D62" s="9">
        <v>7</v>
      </c>
      <c r="E62" s="9" t="s">
        <v>26</v>
      </c>
      <c r="F62" s="1">
        <v>0.51388888888888795</v>
      </c>
      <c r="G62" s="12">
        <v>0.50050268757137695</v>
      </c>
      <c r="H62" s="12">
        <v>0.82621765000000003</v>
      </c>
      <c r="I62" s="12">
        <v>1.26709330890028E-2</v>
      </c>
      <c r="J62" s="12">
        <v>3.4940483504020098E-2</v>
      </c>
      <c r="K62" s="12">
        <v>1.6085956804205E-2</v>
      </c>
      <c r="L62" s="12">
        <v>0.19732797799260601</v>
      </c>
      <c r="M62" s="12">
        <v>3.3926065161031201E-2</v>
      </c>
      <c r="N62" s="12">
        <v>0.45662536336648402</v>
      </c>
      <c r="O62" s="12">
        <v>0.805568078633775</v>
      </c>
      <c r="P62" s="12">
        <v>0.99801587300142203</v>
      </c>
      <c r="Q62" s="12">
        <v>0.391467695608331</v>
      </c>
      <c r="R62" s="1">
        <f t="shared" si="1"/>
        <v>0.66529725824981667</v>
      </c>
    </row>
    <row r="63" spans="1:18" x14ac:dyDescent="0.2">
      <c r="A63" s="8" t="s">
        <v>18</v>
      </c>
      <c r="B63" s="9" t="s">
        <v>15</v>
      </c>
      <c r="C63" s="9" t="s">
        <v>12</v>
      </c>
      <c r="D63" s="9">
        <v>7</v>
      </c>
      <c r="E63" s="9" t="s">
        <v>27</v>
      </c>
      <c r="F63" s="1">
        <v>0.51666666666666605</v>
      </c>
      <c r="G63" s="12">
        <v>0.50041765286413498</v>
      </c>
      <c r="H63" s="12">
        <v>0.8274745</v>
      </c>
      <c r="I63" s="12">
        <v>1.20491289101085E-2</v>
      </c>
      <c r="J63" s="12">
        <v>3.6263648187746002E-2</v>
      </c>
      <c r="K63" s="12">
        <v>1.4950765305478401E-2</v>
      </c>
      <c r="L63" s="12">
        <v>0.19922308761858201</v>
      </c>
      <c r="M63" s="12">
        <v>3.1897560119886502E-2</v>
      </c>
      <c r="N63" s="12">
        <v>0.41327915381241498</v>
      </c>
      <c r="O63" s="12">
        <v>0.79727333804219902</v>
      </c>
      <c r="P63" s="12">
        <v>0.99747795413015805</v>
      </c>
      <c r="Q63" s="12">
        <v>0.38648178779023301</v>
      </c>
      <c r="R63" s="1">
        <f t="shared" si="1"/>
        <v>0.65644223340694519</v>
      </c>
    </row>
    <row r="66" spans="1:18" x14ac:dyDescent="0.2">
      <c r="A66" s="11" t="s">
        <v>12</v>
      </c>
      <c r="B66" s="10" t="s">
        <v>18</v>
      </c>
      <c r="C66" s="10" t="s">
        <v>30</v>
      </c>
    </row>
    <row r="67" spans="1:18" x14ac:dyDescent="0.2">
      <c r="A67" s="8" t="s">
        <v>1</v>
      </c>
      <c r="B67" s="8" t="s">
        <v>2</v>
      </c>
      <c r="C67" s="8" t="s">
        <v>3</v>
      </c>
      <c r="D67" s="8" t="s">
        <v>24</v>
      </c>
      <c r="E67" s="8" t="s">
        <v>25</v>
      </c>
      <c r="F67" s="8" t="s">
        <v>4</v>
      </c>
      <c r="G67" s="8" t="s">
        <v>5</v>
      </c>
      <c r="H67" s="8" t="s">
        <v>6</v>
      </c>
      <c r="I67" s="8" t="s">
        <v>7</v>
      </c>
      <c r="J67" s="8" t="s">
        <v>8</v>
      </c>
      <c r="K67" s="8" t="s">
        <v>9</v>
      </c>
      <c r="L67" s="8" t="s">
        <v>10</v>
      </c>
      <c r="M67" s="8" t="s">
        <v>11</v>
      </c>
      <c r="N67" s="8" t="s">
        <v>19</v>
      </c>
      <c r="O67" s="8" t="s">
        <v>20</v>
      </c>
      <c r="P67" s="8" t="s">
        <v>21</v>
      </c>
      <c r="Q67" s="8" t="s">
        <v>22</v>
      </c>
      <c r="R67" s="8" t="s">
        <v>23</v>
      </c>
    </row>
    <row r="68" spans="1:18" x14ac:dyDescent="0.2">
      <c r="A68" s="8" t="s">
        <v>18</v>
      </c>
      <c r="B68" s="9" t="s">
        <v>13</v>
      </c>
      <c r="C68" s="9" t="s">
        <v>12</v>
      </c>
      <c r="D68" s="9">
        <v>15</v>
      </c>
      <c r="E68" s="9" t="s">
        <v>29</v>
      </c>
      <c r="F68" s="12">
        <v>0.50555555555555498</v>
      </c>
      <c r="G68" s="12">
        <v>0.50066498645287405</v>
      </c>
      <c r="H68" s="12">
        <v>0.82973843999999997</v>
      </c>
      <c r="I68" s="12">
        <v>1.1680882664365099E-2</v>
      </c>
      <c r="J68" s="12">
        <v>3.5378980899574398E-2</v>
      </c>
      <c r="K68" s="12">
        <v>1.71904248308354E-2</v>
      </c>
      <c r="L68" s="12">
        <v>0.19705004893946901</v>
      </c>
      <c r="M68" s="12">
        <v>3.3431285073047899E-2</v>
      </c>
      <c r="N68" s="12">
        <v>0.65888121802556499</v>
      </c>
      <c r="O68" s="12">
        <v>0.80440788117374595</v>
      </c>
      <c r="P68" s="12">
        <v>0.994744620673083</v>
      </c>
      <c r="Q68" s="12">
        <v>0.97529819446352295</v>
      </c>
      <c r="R68" s="1">
        <f t="shared" ref="R68:R83" si="2">AVERAGE(F68,H68,N68,O68,P68,Q68)</f>
        <v>0.7947709849819119</v>
      </c>
    </row>
    <row r="69" spans="1:18" x14ac:dyDescent="0.2">
      <c r="A69" s="8" t="s">
        <v>18</v>
      </c>
      <c r="B69" s="9" t="s">
        <v>13</v>
      </c>
      <c r="C69" s="9" t="s">
        <v>12</v>
      </c>
      <c r="D69" s="9">
        <v>15</v>
      </c>
      <c r="E69" s="9" t="s">
        <v>27</v>
      </c>
      <c r="F69" s="12">
        <v>0.5</v>
      </c>
      <c r="G69" s="12">
        <v>0.50069589456084296</v>
      </c>
      <c r="H69" s="12">
        <v>0.82866245999999999</v>
      </c>
      <c r="I69" s="12">
        <v>1.14446144655816E-2</v>
      </c>
      <c r="J69" s="12">
        <v>3.6164801882360001E-2</v>
      </c>
      <c r="K69" s="12">
        <v>1.7367173101408499E-2</v>
      </c>
      <c r="L69" s="12">
        <v>0.19769348103210399</v>
      </c>
      <c r="M69" s="12">
        <v>3.42179374827037E-2</v>
      </c>
      <c r="N69" s="12">
        <v>0.64169598731129296</v>
      </c>
      <c r="O69" s="12">
        <v>0.786292426885566</v>
      </c>
      <c r="P69" s="12">
        <v>0.99428263289330898</v>
      </c>
      <c r="Q69" s="12">
        <v>0.98511666262738695</v>
      </c>
      <c r="R69" s="1">
        <f t="shared" si="2"/>
        <v>0.78934169495292583</v>
      </c>
    </row>
    <row r="70" spans="1:18" x14ac:dyDescent="0.2">
      <c r="A70" s="8" t="s">
        <v>18</v>
      </c>
      <c r="B70" s="9" t="s">
        <v>13</v>
      </c>
      <c r="C70" s="9" t="s">
        <v>12</v>
      </c>
      <c r="D70" s="9">
        <v>15</v>
      </c>
      <c r="E70" s="9" t="s">
        <v>26</v>
      </c>
      <c r="F70" s="12">
        <v>0.5</v>
      </c>
      <c r="G70" s="12">
        <v>0.50069589456084396</v>
      </c>
      <c r="H70" s="12">
        <v>0.82781819999999995</v>
      </c>
      <c r="I70" s="12">
        <v>1.1755197134135101E-2</v>
      </c>
      <c r="J70" s="12">
        <v>3.5447840010752699E-2</v>
      </c>
      <c r="K70" s="12">
        <v>1.6780339481156498E-2</v>
      </c>
      <c r="L70" s="12">
        <v>0.19559343105742899</v>
      </c>
      <c r="M70" s="12">
        <v>3.2067466060402797E-2</v>
      </c>
      <c r="N70" s="12">
        <v>0.64177180496508301</v>
      </c>
      <c r="O70" s="12">
        <v>0.79502395482407895</v>
      </c>
      <c r="P70" s="12">
        <v>0.99475918112072004</v>
      </c>
      <c r="Q70" s="12">
        <v>0.96779683969369101</v>
      </c>
      <c r="R70" s="1">
        <f t="shared" si="2"/>
        <v>0.78786166343392872</v>
      </c>
    </row>
    <row r="71" spans="1:18" x14ac:dyDescent="0.2">
      <c r="A71" s="8" t="s">
        <v>18</v>
      </c>
      <c r="B71" s="9" t="s">
        <v>13</v>
      </c>
      <c r="C71" s="9" t="s">
        <v>12</v>
      </c>
      <c r="D71" s="9">
        <v>15</v>
      </c>
      <c r="E71" s="9" t="s">
        <v>28</v>
      </c>
      <c r="F71" s="12">
        <v>0.469444444444444</v>
      </c>
      <c r="G71" s="12">
        <v>0.49976007861847899</v>
      </c>
      <c r="H71" s="12">
        <v>0.82839459999999998</v>
      </c>
      <c r="I71" s="12">
        <v>1.19197165517777E-2</v>
      </c>
      <c r="J71" s="12">
        <v>3.4805725076003102E-2</v>
      </c>
      <c r="K71" s="12">
        <v>1.6103936640558501E-2</v>
      </c>
      <c r="L71" s="12">
        <v>0.19462115959218701</v>
      </c>
      <c r="M71" s="12">
        <v>3.3474791437736302E-2</v>
      </c>
      <c r="N71" s="12">
        <v>0.62769199860677904</v>
      </c>
      <c r="O71" s="12">
        <v>0.808170984080119</v>
      </c>
      <c r="P71" s="12">
        <v>0.99522027215198705</v>
      </c>
      <c r="Q71" s="12">
        <v>0.97472952166185201</v>
      </c>
      <c r="R71" s="1">
        <f t="shared" si="2"/>
        <v>0.7839419701575302</v>
      </c>
    </row>
    <row r="72" spans="1:18" x14ac:dyDescent="0.2">
      <c r="A72" s="8" t="s">
        <v>18</v>
      </c>
      <c r="B72" s="9" t="s">
        <v>13</v>
      </c>
      <c r="C72" s="9" t="s">
        <v>12</v>
      </c>
      <c r="D72" s="9">
        <v>10</v>
      </c>
      <c r="E72" s="9" t="s">
        <v>26</v>
      </c>
      <c r="F72" s="12">
        <v>0.55277777777777704</v>
      </c>
      <c r="G72" s="12">
        <v>0.49789871054983897</v>
      </c>
      <c r="H72" s="12">
        <v>0.82673085000000002</v>
      </c>
      <c r="I72" s="12">
        <v>1.2651530565950799E-2</v>
      </c>
      <c r="J72" s="12">
        <v>3.5568287088601797E-2</v>
      </c>
      <c r="K72" s="12">
        <v>1.6819080772062699E-2</v>
      </c>
      <c r="L72" s="12">
        <v>0.20087887828767001</v>
      </c>
      <c r="M72" s="12">
        <v>3.4614704233139601E-2</v>
      </c>
      <c r="N72" s="12">
        <v>0.54764624749379698</v>
      </c>
      <c r="O72" s="12">
        <v>0.80117160268696197</v>
      </c>
      <c r="P72" s="12">
        <v>0.99513357699447802</v>
      </c>
      <c r="Q72" s="12">
        <v>0.94511113053085705</v>
      </c>
      <c r="R72" s="1">
        <f t="shared" si="2"/>
        <v>0.77809519758064516</v>
      </c>
    </row>
    <row r="73" spans="1:18" x14ac:dyDescent="0.2">
      <c r="A73" s="8" t="s">
        <v>18</v>
      </c>
      <c r="B73" s="9" t="s">
        <v>13</v>
      </c>
      <c r="C73" s="9" t="s">
        <v>12</v>
      </c>
      <c r="D73" s="9">
        <v>10</v>
      </c>
      <c r="E73" s="9" t="s">
        <v>27</v>
      </c>
      <c r="F73" s="12">
        <v>0.53333333333333299</v>
      </c>
      <c r="G73" s="12">
        <v>0.49958199797625702</v>
      </c>
      <c r="H73" s="12">
        <v>0.82758134999999999</v>
      </c>
      <c r="I73" s="12">
        <v>1.3047112916284199E-2</v>
      </c>
      <c r="J73" s="12">
        <v>3.5451984036978398E-2</v>
      </c>
      <c r="K73" s="12">
        <v>1.7044904176207999E-2</v>
      </c>
      <c r="L73" s="12">
        <v>0.201453057675437</v>
      </c>
      <c r="M73" s="12">
        <v>3.3120030070633903E-2</v>
      </c>
      <c r="N73" s="12">
        <v>0.54845911627248201</v>
      </c>
      <c r="O73" s="12">
        <v>0.80350679857424601</v>
      </c>
      <c r="P73" s="12">
        <v>0.99507777286865695</v>
      </c>
      <c r="Q73" s="12">
        <v>0.94376826508718503</v>
      </c>
      <c r="R73" s="1">
        <f t="shared" si="2"/>
        <v>0.77528777268931715</v>
      </c>
    </row>
    <row r="74" spans="1:18" x14ac:dyDescent="0.2">
      <c r="A74" s="8" t="s">
        <v>18</v>
      </c>
      <c r="B74" s="9" t="s">
        <v>13</v>
      </c>
      <c r="C74" s="9" t="s">
        <v>12</v>
      </c>
      <c r="D74" s="9">
        <v>10</v>
      </c>
      <c r="E74" s="9" t="s">
        <v>28</v>
      </c>
      <c r="F74" s="12">
        <v>0.51388888888888795</v>
      </c>
      <c r="G74" s="12">
        <v>0.50050268757137595</v>
      </c>
      <c r="H74" s="12">
        <v>0.82673602999999996</v>
      </c>
      <c r="I74" s="12">
        <v>1.3155754751609801E-2</v>
      </c>
      <c r="J74" s="12">
        <v>3.5378878037350701E-2</v>
      </c>
      <c r="K74" s="12">
        <v>1.61528643934972E-2</v>
      </c>
      <c r="L74" s="12">
        <v>0.199437442556335</v>
      </c>
      <c r="M74" s="12">
        <v>3.2179171933689701E-2</v>
      </c>
      <c r="N74" s="12">
        <v>0.531826067163502</v>
      </c>
      <c r="O74" s="12">
        <v>0.82199965206349801</v>
      </c>
      <c r="P74" s="12">
        <v>0.99549336786179998</v>
      </c>
      <c r="Q74" s="12">
        <v>0.92649044455102203</v>
      </c>
      <c r="R74" s="1">
        <f t="shared" si="2"/>
        <v>0.76940574175478493</v>
      </c>
    </row>
    <row r="75" spans="1:18" x14ac:dyDescent="0.2">
      <c r="A75" s="8" t="s">
        <v>18</v>
      </c>
      <c r="B75" s="9" t="s">
        <v>13</v>
      </c>
      <c r="C75" s="9" t="s">
        <v>12</v>
      </c>
      <c r="D75" s="9">
        <v>10</v>
      </c>
      <c r="E75" s="9" t="s">
        <v>29</v>
      </c>
      <c r="F75" s="12">
        <v>0.50277777777777699</v>
      </c>
      <c r="G75" s="12">
        <v>0.50068816771272595</v>
      </c>
      <c r="H75" s="12">
        <v>0.82756039999999997</v>
      </c>
      <c r="I75" s="12">
        <v>1.383395367663E-2</v>
      </c>
      <c r="J75" s="12">
        <v>3.6429807191165099E-2</v>
      </c>
      <c r="K75" s="12">
        <v>1.7189478147220501E-2</v>
      </c>
      <c r="L75" s="12">
        <v>0.20300012661016101</v>
      </c>
      <c r="M75" s="12">
        <v>3.5656749610150501E-2</v>
      </c>
      <c r="N75" s="12">
        <v>0.55231864795321095</v>
      </c>
      <c r="O75" s="12">
        <v>0.80247975594589505</v>
      </c>
      <c r="P75" s="12">
        <v>0.99526703041324305</v>
      </c>
      <c r="Q75" s="12">
        <v>0.934393834689206</v>
      </c>
      <c r="R75" s="1">
        <f t="shared" si="2"/>
        <v>0.7691329077965553</v>
      </c>
    </row>
    <row r="76" spans="1:18" x14ac:dyDescent="0.2">
      <c r="A76" s="8" t="s">
        <v>18</v>
      </c>
      <c r="B76" s="9" t="s">
        <v>13</v>
      </c>
      <c r="C76" s="9" t="s">
        <v>12</v>
      </c>
      <c r="D76" s="9">
        <v>5</v>
      </c>
      <c r="E76" s="9" t="s">
        <v>29</v>
      </c>
      <c r="F76" s="12">
        <v>0.50555555555555498</v>
      </c>
      <c r="G76" s="12">
        <v>0.50066498645287405</v>
      </c>
      <c r="H76" s="12">
        <v>0.82823639999999998</v>
      </c>
      <c r="I76" s="12">
        <v>1.2247097499848401E-2</v>
      </c>
      <c r="J76" s="12">
        <v>3.8112832059485097E-2</v>
      </c>
      <c r="K76" s="12">
        <v>1.7820334666667801E-2</v>
      </c>
      <c r="L76" s="12">
        <v>0.19817097749297199</v>
      </c>
      <c r="M76" s="12">
        <v>3.4384243645437997E-2</v>
      </c>
      <c r="N76" s="12">
        <v>0.42950153147402198</v>
      </c>
      <c r="O76" s="12">
        <v>0.80982060101826303</v>
      </c>
      <c r="P76" s="12">
        <v>0.99999999998</v>
      </c>
      <c r="Q76" s="12">
        <v>0.56947116930182595</v>
      </c>
      <c r="R76" s="1">
        <f t="shared" si="2"/>
        <v>0.69043087622161092</v>
      </c>
    </row>
    <row r="77" spans="1:18" x14ac:dyDescent="0.2">
      <c r="A77" s="8" t="s">
        <v>18</v>
      </c>
      <c r="B77" s="9" t="s">
        <v>13</v>
      </c>
      <c r="C77" s="9" t="s">
        <v>12</v>
      </c>
      <c r="D77" s="9">
        <v>5</v>
      </c>
      <c r="E77" s="9" t="s">
        <v>28</v>
      </c>
      <c r="F77" s="12">
        <v>0.50833333333333297</v>
      </c>
      <c r="G77" s="12">
        <v>0.50062634863446298</v>
      </c>
      <c r="H77" s="12">
        <v>0.82782359999999999</v>
      </c>
      <c r="I77" s="12">
        <v>1.32117875204878E-2</v>
      </c>
      <c r="J77" s="12">
        <v>3.8066988290233403E-2</v>
      </c>
      <c r="K77" s="12">
        <v>1.7567277986390701E-2</v>
      </c>
      <c r="L77" s="12">
        <v>0.20022864841913199</v>
      </c>
      <c r="M77" s="12">
        <v>3.5804122358570598E-2</v>
      </c>
      <c r="N77" s="12">
        <v>0.40948570696972603</v>
      </c>
      <c r="O77" s="12">
        <v>0.80832847163706101</v>
      </c>
      <c r="P77" s="12">
        <v>0.99958217268191796</v>
      </c>
      <c r="Q77" s="12">
        <v>0.55343388716696595</v>
      </c>
      <c r="R77" s="1">
        <f t="shared" si="2"/>
        <v>0.68449786196483398</v>
      </c>
    </row>
    <row r="78" spans="1:18" x14ac:dyDescent="0.2">
      <c r="A78" s="8" t="s">
        <v>18</v>
      </c>
      <c r="B78" s="9" t="s">
        <v>13</v>
      </c>
      <c r="C78" s="9" t="s">
        <v>12</v>
      </c>
      <c r="D78" s="9">
        <v>5</v>
      </c>
      <c r="E78" s="9" t="s">
        <v>27</v>
      </c>
      <c r="F78" s="12">
        <v>0.50277777777777699</v>
      </c>
      <c r="G78" s="12">
        <v>0.50068816771272595</v>
      </c>
      <c r="H78" s="12">
        <v>0.82780580000000004</v>
      </c>
      <c r="I78" s="12">
        <v>1.1883623763381999E-2</v>
      </c>
      <c r="J78" s="12">
        <v>3.6371107396995297E-2</v>
      </c>
      <c r="K78" s="12">
        <v>1.6484495209417999E-2</v>
      </c>
      <c r="L78" s="12">
        <v>0.19695022112219299</v>
      </c>
      <c r="M78" s="12">
        <v>3.4484492180374499E-2</v>
      </c>
      <c r="N78" s="12">
        <v>0.41571275643201899</v>
      </c>
      <c r="O78" s="12">
        <v>0.80434603252996595</v>
      </c>
      <c r="P78" s="12">
        <v>0.99972222220220097</v>
      </c>
      <c r="Q78" s="12">
        <v>0.53745731255376405</v>
      </c>
      <c r="R78" s="1">
        <f t="shared" si="2"/>
        <v>0.68130365024928785</v>
      </c>
    </row>
    <row r="79" spans="1:18" x14ac:dyDescent="0.2">
      <c r="A79" s="8" t="s">
        <v>18</v>
      </c>
      <c r="B79" s="9" t="s">
        <v>13</v>
      </c>
      <c r="C79" s="9" t="s">
        <v>12</v>
      </c>
      <c r="D79" s="9">
        <v>5</v>
      </c>
      <c r="E79" s="9" t="s">
        <v>26</v>
      </c>
      <c r="F79" s="12">
        <v>0.49166666666666597</v>
      </c>
      <c r="G79" s="12">
        <v>0.50062634863446298</v>
      </c>
      <c r="H79" s="12">
        <v>0.82692779999999999</v>
      </c>
      <c r="I79" s="12">
        <v>1.2570308991546901E-2</v>
      </c>
      <c r="J79" s="12">
        <v>3.5790142385195102E-2</v>
      </c>
      <c r="K79" s="12">
        <v>1.60639542043183E-2</v>
      </c>
      <c r="L79" s="12">
        <v>0.19410390015207299</v>
      </c>
      <c r="M79" s="12">
        <v>3.3364346896459299E-2</v>
      </c>
      <c r="N79" s="12">
        <v>0.37964329586839002</v>
      </c>
      <c r="O79" s="12">
        <v>0.823925037551545</v>
      </c>
      <c r="P79" s="12">
        <v>0.99986111109109999</v>
      </c>
      <c r="Q79" s="12">
        <v>0.53669750502007496</v>
      </c>
      <c r="R79" s="1">
        <f t="shared" si="2"/>
        <v>0.67645356936629597</v>
      </c>
    </row>
    <row r="80" spans="1:18" x14ac:dyDescent="0.2">
      <c r="A80" s="8" t="s">
        <v>18</v>
      </c>
      <c r="B80" s="9" t="s">
        <v>13</v>
      </c>
      <c r="C80" s="9" t="s">
        <v>12</v>
      </c>
      <c r="D80" s="9">
        <v>7</v>
      </c>
      <c r="E80" s="9" t="s">
        <v>26</v>
      </c>
      <c r="F80" s="12">
        <v>0.52222222222222203</v>
      </c>
      <c r="G80" s="12">
        <v>0.50020113565091795</v>
      </c>
      <c r="H80" s="12">
        <v>0.82691336000000004</v>
      </c>
      <c r="I80" s="12">
        <v>1.3272514459505899E-2</v>
      </c>
      <c r="J80" s="12">
        <v>3.5222691777785697E-2</v>
      </c>
      <c r="K80" s="12">
        <v>1.52809125402613E-2</v>
      </c>
      <c r="L80" s="12">
        <v>0.19787216760102899</v>
      </c>
      <c r="M80" s="12">
        <v>3.4066115404999701E-2</v>
      </c>
      <c r="N80" s="12">
        <v>0.45087146058423799</v>
      </c>
      <c r="O80" s="12">
        <v>0.81456885019713399</v>
      </c>
      <c r="P80" s="12">
        <v>0.99767989416542702</v>
      </c>
      <c r="Q80" s="12">
        <v>0.41724221936251399</v>
      </c>
      <c r="R80" s="1">
        <f t="shared" si="2"/>
        <v>0.67158300108858915</v>
      </c>
    </row>
    <row r="81" spans="1:18" x14ac:dyDescent="0.2">
      <c r="A81" s="8" t="s">
        <v>18</v>
      </c>
      <c r="B81" s="9" t="s">
        <v>13</v>
      </c>
      <c r="C81" s="9" t="s">
        <v>12</v>
      </c>
      <c r="D81" s="9">
        <v>7</v>
      </c>
      <c r="E81" s="9" t="s">
        <v>27</v>
      </c>
      <c r="F81" s="12">
        <v>0.54444444444444395</v>
      </c>
      <c r="G81" s="12">
        <v>0.49871391391821301</v>
      </c>
      <c r="H81" s="12">
        <v>0.82680297000000003</v>
      </c>
      <c r="I81" s="12">
        <v>1.31786490773E-2</v>
      </c>
      <c r="J81" s="12">
        <v>3.50040101460617E-2</v>
      </c>
      <c r="K81" s="12">
        <v>1.5479072277947601E-2</v>
      </c>
      <c r="L81" s="12">
        <v>0.197016376949563</v>
      </c>
      <c r="M81" s="12">
        <v>3.2843755547814102E-2</v>
      </c>
      <c r="N81" s="12">
        <v>0.44467319656087401</v>
      </c>
      <c r="O81" s="12">
        <v>0.80176378646276503</v>
      </c>
      <c r="P81" s="12">
        <v>0.99713844795732498</v>
      </c>
      <c r="Q81" s="12">
        <v>0.38552657084299902</v>
      </c>
      <c r="R81" s="1">
        <f t="shared" si="2"/>
        <v>0.66672490271140117</v>
      </c>
    </row>
    <row r="82" spans="1:18" x14ac:dyDescent="0.2">
      <c r="A82" s="8" t="s">
        <v>18</v>
      </c>
      <c r="B82" s="9" t="s">
        <v>13</v>
      </c>
      <c r="C82" s="9" t="s">
        <v>12</v>
      </c>
      <c r="D82" s="9">
        <v>7</v>
      </c>
      <c r="E82" s="9" t="s">
        <v>29</v>
      </c>
      <c r="F82" s="12">
        <v>0.55000000000000004</v>
      </c>
      <c r="G82" s="12">
        <v>0.49818612489890002</v>
      </c>
      <c r="H82" s="12">
        <v>0.82737094</v>
      </c>
      <c r="I82" s="12">
        <v>1.25894432993095E-2</v>
      </c>
      <c r="J82" s="12">
        <v>3.6338107238446202E-2</v>
      </c>
      <c r="K82" s="12">
        <v>1.5077672003601E-2</v>
      </c>
      <c r="L82" s="12">
        <v>0.19915084696493299</v>
      </c>
      <c r="M82" s="12">
        <v>3.1067733434896799E-2</v>
      </c>
      <c r="N82" s="12">
        <v>0.428537904808027</v>
      </c>
      <c r="O82" s="12">
        <v>0.81988392233192098</v>
      </c>
      <c r="P82" s="12">
        <v>0.99724206347759803</v>
      </c>
      <c r="Q82" s="12">
        <v>0.374635160002181</v>
      </c>
      <c r="R82" s="1">
        <f t="shared" si="2"/>
        <v>0.66627833176995443</v>
      </c>
    </row>
    <row r="83" spans="1:18" x14ac:dyDescent="0.2">
      <c r="A83" s="8" t="s">
        <v>18</v>
      </c>
      <c r="B83" s="9" t="s">
        <v>13</v>
      </c>
      <c r="C83" s="9" t="s">
        <v>12</v>
      </c>
      <c r="D83" s="9">
        <v>7</v>
      </c>
      <c r="E83" s="9" t="s">
        <v>28</v>
      </c>
      <c r="F83" s="12">
        <v>0.52500000000000002</v>
      </c>
      <c r="G83" s="12">
        <v>0.50006963303424901</v>
      </c>
      <c r="H83" s="12">
        <v>0.82638710000000004</v>
      </c>
      <c r="I83" s="12">
        <v>1.31860820229156E-2</v>
      </c>
      <c r="J83" s="12">
        <v>3.5758170343281201E-2</v>
      </c>
      <c r="K83" s="12">
        <v>1.6684952055993799E-2</v>
      </c>
      <c r="L83" s="12">
        <v>0.196520966108478</v>
      </c>
      <c r="M83" s="12">
        <v>3.5622671114644497E-2</v>
      </c>
      <c r="N83" s="12">
        <v>0.41591245078096201</v>
      </c>
      <c r="O83" s="12">
        <v>0.80476236454485695</v>
      </c>
      <c r="P83" s="12">
        <v>0.99690255730476496</v>
      </c>
      <c r="Q83" s="12">
        <v>0.39165921171214801</v>
      </c>
      <c r="R83" s="1">
        <f t="shared" si="2"/>
        <v>0.66010394739045541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Costa Pereira Nascimento da Silva</dc:creator>
  <cp:lastModifiedBy>Catarina Costa Pereira Nascimento da Silva</cp:lastModifiedBy>
  <dcterms:created xsi:type="dcterms:W3CDTF">2025-05-17T10:27:38Z</dcterms:created>
  <dcterms:modified xsi:type="dcterms:W3CDTF">2025-07-02T15:18:04Z</dcterms:modified>
</cp:coreProperties>
</file>